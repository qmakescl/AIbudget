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yoonani/Practice/AIbudget/data/"/>
    </mc:Choice>
  </mc:AlternateContent>
  <xr:revisionPtr revIDLastSave="0" documentId="13_ncr:9_{C80205D1-43A2-C246-A148-4267FA2DEB8B}" xr6:coauthVersionLast="47" xr6:coauthVersionMax="47" xr10:uidLastSave="{00000000-0000-0000-0000-000000000000}"/>
  <bookViews>
    <workbookView xWindow="33160" yWindow="23760" windowWidth="43320" windowHeight="19420" xr2:uid="{D76952EE-F111-DD4B-BA28-991DA9BC5C0A}"/>
  </bookViews>
  <sheets>
    <sheet name="budget_data_verified" sheetId="1" r:id="rId1"/>
  </sheets>
  <calcPr calcId="0"/>
</workbook>
</file>

<file path=xl/calcChain.xml><?xml version="1.0" encoding="utf-8"?>
<calcChain xmlns="http://schemas.openxmlformats.org/spreadsheetml/2006/main">
  <c r="N4" i="1" l="1"/>
  <c r="N5" i="1"/>
  <c r="N8" i="1"/>
  <c r="N12" i="1"/>
  <c r="N14" i="1"/>
  <c r="N18" i="1"/>
  <c r="N21" i="1"/>
  <c r="N22" i="1"/>
  <c r="N30" i="1"/>
  <c r="N33" i="1"/>
  <c r="N36" i="1"/>
  <c r="N43" i="1"/>
  <c r="N45" i="1"/>
  <c r="N46" i="1"/>
  <c r="N47" i="1"/>
  <c r="N48" i="1"/>
  <c r="N50" i="1"/>
  <c r="N53" i="1"/>
  <c r="N55" i="1"/>
  <c r="N58" i="1"/>
  <c r="N59" i="1"/>
  <c r="N61" i="1"/>
  <c r="N64" i="1"/>
  <c r="N74" i="1"/>
  <c r="N75" i="1"/>
  <c r="N80" i="1"/>
  <c r="N81" i="1"/>
  <c r="N83" i="1"/>
  <c r="N85" i="1"/>
  <c r="N86" i="1"/>
  <c r="N88" i="1"/>
  <c r="N90" i="1"/>
  <c r="N93" i="1"/>
  <c r="N95" i="1"/>
  <c r="N96" i="1"/>
  <c r="N100" i="1"/>
  <c r="N102" i="1"/>
  <c r="N104" i="1"/>
  <c r="N105" i="1"/>
  <c r="N113" i="1"/>
  <c r="N117" i="1"/>
  <c r="N121" i="1"/>
  <c r="N122" i="1"/>
  <c r="N123" i="1"/>
  <c r="N125" i="1"/>
  <c r="N128" i="1"/>
  <c r="N129" i="1"/>
  <c r="N132" i="1"/>
  <c r="N136" i="1"/>
  <c r="N140" i="1"/>
  <c r="N141" i="1"/>
  <c r="N142" i="1"/>
  <c r="N144" i="1"/>
  <c r="N145" i="1"/>
  <c r="N150" i="1"/>
  <c r="N151" i="1"/>
  <c r="N158" i="1"/>
  <c r="N160" i="1"/>
  <c r="N164" i="1"/>
  <c r="N167" i="1"/>
  <c r="N170" i="1"/>
  <c r="N172" i="1"/>
  <c r="N174" i="1"/>
  <c r="N175" i="1"/>
  <c r="N183" i="1"/>
  <c r="N185" i="1"/>
  <c r="N186" i="1"/>
  <c r="N189" i="1"/>
  <c r="N190" i="1"/>
  <c r="N191" i="1"/>
  <c r="N192" i="1"/>
  <c r="N196" i="1"/>
  <c r="N217" i="1"/>
  <c r="N219" i="1"/>
  <c r="N220" i="1"/>
  <c r="N222" i="1"/>
  <c r="N228" i="1"/>
  <c r="N231" i="1"/>
  <c r="N243" i="1"/>
  <c r="N246" i="1"/>
  <c r="N253" i="1"/>
  <c r="N261" i="1"/>
  <c r="N262" i="1"/>
  <c r="N263" i="1"/>
  <c r="N269" i="1"/>
  <c r="N272" i="1"/>
  <c r="N273" i="1"/>
  <c r="N275" i="1"/>
  <c r="N279" i="1"/>
  <c r="N280" i="1"/>
  <c r="N291" i="1"/>
  <c r="N295" i="1"/>
  <c r="N322" i="1"/>
  <c r="N323" i="1"/>
  <c r="N325" i="1"/>
  <c r="N326" i="1"/>
  <c r="N329" i="1"/>
  <c r="N330" i="1"/>
  <c r="N335" i="1"/>
  <c r="N338" i="1"/>
  <c r="N345" i="1"/>
  <c r="N349" i="1"/>
  <c r="N357" i="1"/>
  <c r="N358" i="1"/>
  <c r="N361" i="1"/>
  <c r="N372" i="1"/>
  <c r="N373" i="1"/>
  <c r="N384" i="1"/>
  <c r="N409" i="1"/>
  <c r="N411" i="1"/>
  <c r="N430" i="1"/>
  <c r="N434" i="1"/>
  <c r="N437" i="1"/>
  <c r="N441" i="1"/>
  <c r="N451" i="1"/>
  <c r="N455" i="1"/>
  <c r="N459" i="1"/>
  <c r="N464" i="1"/>
  <c r="N466" i="1"/>
  <c r="N467" i="1"/>
  <c r="N474" i="1"/>
  <c r="N475" i="1"/>
  <c r="N477" i="1"/>
  <c r="N479" i="1"/>
  <c r="N481" i="1"/>
  <c r="N485" i="1"/>
  <c r="N486" i="1"/>
  <c r="N502" i="1"/>
  <c r="N503" i="1"/>
  <c r="N504" i="1"/>
  <c r="N508" i="1"/>
  <c r="N512" i="1"/>
  <c r="N514" i="1"/>
  <c r="N518" i="1"/>
  <c r="N523" i="1"/>
  <c r="N528" i="1"/>
</calcChain>
</file>

<file path=xl/sharedStrings.xml><?xml version="1.0" encoding="utf-8"?>
<sst xmlns="http://schemas.openxmlformats.org/spreadsheetml/2006/main" count="1475" uniqueCount="974">
  <si>
    <t>dept_name</t>
  </si>
  <si>
    <t>project_no</t>
  </si>
  <si>
    <t>project_name</t>
  </si>
  <si>
    <t>page_start</t>
  </si>
  <si>
    <t>page_end</t>
  </si>
  <si>
    <t>budget_2024</t>
  </si>
  <si>
    <t>budget_2025</t>
  </si>
  <si>
    <t>budget_2025_sup</t>
  </si>
  <si>
    <t>change_amount</t>
  </si>
  <si>
    <t>change_rate</t>
  </si>
  <si>
    <t>is_new</t>
  </si>
  <si>
    <t>description</t>
  </si>
  <si>
    <t>감사원</t>
  </si>
  <si>
    <t>전산운영경비(정보화)</t>
  </si>
  <si>
    <t>○각종 전산시스템을 구축·개선하여 방대한 감사자료 등 데이터를 보다 효율적으로 관리하고, 자체감사기구와의 감사 관련 지식 등 공유를 도모하며 각종 사이버위협에 효과적으로 대응 ▪(감사자료분석시스템 구축·운영) 전산화된 감사자료를 수집ㆍ분석ㆍ활용하고, 데이터 기반의 체계적ㆍ과학적 감사를 지원하여 감사 효율성 및 성과 제고를 위해 구축한 감사 2024 2025 2026 예산 예산액 (추경) 예산 현액 집행액이월액불용액 예산액 (추경) 예산 현액 집행액 이월액불용액 ○기능별 분류(합계) 15,865 15,897 12,508 2,424 965 16,111 18,535 13,596 3,594</t>
  </si>
  <si>
    <t>개인정보보호위원회</t>
  </si>
  <si>
    <t>개인정보 안전활용 선도기술 개발(R&amp;D)</t>
  </si>
  <si>
    <t>- 개인정보 안전활용 기술을 통해 개인정보 유·노출 사고를 예방하고 신뢰받는 데이터 활용 생태계 구축 - (원본데이터 안전 활용 기술) 합성데이터 생성․검증 기술, 가명․익명처리 기술, 딥페이크 대응 생체정보 무단도용 방지 기술 등 안전한 원본데이터 활용 기술 개발 - (AI 프라이버시 리스크 대응 기술 개발) 생성/추론형 AI 등 고도화된 AI 모델 대상 통용 가능한 프라이버시 리스크 대응 기술 개발</t>
  </si>
  <si>
    <t>신뢰기반의 AI 개인정보 보호·활용 기술개발(R&amp;D)</t>
  </si>
  <si>
    <t>안전한 데이터 활용 지원</t>
  </si>
  <si>
    <t>경찰청</t>
  </si>
  <si>
    <t>112시스템운영(정보화)</t>
  </si>
  <si>
    <t>112시스템운영 - (112시스템유지관리) 112시스템은 24시간 365일 구동되는 경찰 주요 시스템으로 안정적인 무중단 서비스 제공을 위한 시스템 유지보수 및 장애 발생 시, 신속한 복구를 위한 체계적 대응 필수 - (112시스템 개선) 112신고 접수･지령을 위해 사용중인 112워크스테이션이 내용연수가 경과 함에 따라 안정적인 시스템 운영을 위해 장비교체 및 요구조자의 신속한 위치 파악을 위한 정밀탐색시스템 도입 - (순찰차캠 영상관제 시스템 구축) 실시간 장애대응을 위해 24시간 콜센터 운영, 단말기･ 거치대･케이블 등에 장애시 신속한 출장 수리 및 복구 등 유지보수 - (112지원시스템) 최신 IT 환경변화에 맞춘 효율적인 지역경찰 업무지원을 위해 ‘AI 기반 과학적 예방 활동’ 지원 체계 마련, ‘모바일 앱’ 구축, 노후 시스템 개선 등을 통한 지역 경찰 업무시스템 고도화 2024 2025(2025.11월말) 2026 예산 예산액 (추경) 예산 현액 집행액 [실집행액] 이월액불용액본예산 예산 현액 집행액 [실집행액] 전년도 이월액 제외 이월 예상액</t>
  </si>
  <si>
    <t>경찰정보화기반고도화(정보화)</t>
  </si>
  <si>
    <t>①(경찰정보시스템 통합유지관리 운영) ･개별 관리하던 정보시스템의 유지관리사업을 하나로 통합하여 체계화된 절차와 방법을 통해 중복과 불일치를 제거하여 시스템 안정성 및 효율성 향상 ②(경찰 사이버보안관제센터 운영) ･급증하는 사이버 위협에 대응하기 위해 성능이 개선된 최신 정보보호시스템으로 고도화 및 바이러스 감염방지 등 안전한 경찰전산망을 관리하기 위한 백신 소프트웨어 구매 ③(전국 경찰관서 각종 전산장비 운영) ･전국 경찰관서의 내용연수 경과한 사무용 전산장비(PC, 프린터, 노트북 등)를 적기에 교체하여 장비 고장으로 발생하는 업무능률 저하 최소화 및 정보화 인프라 구축 ④(MS 라이선스 등 소프트웨어 정품화) ･전국 경찰관서 업무용 PC 등 MS･Adobe･한컴오피스 관련 라이선스 분쟁 예방 및 정품 소프트웨어 라이선스 구매 ⑤(공공요금 등 기타 운영비) ･경찰 정보통신망의 안정적인 서비스 제공을 위한 전국 경찰관서(본청, 시도청, 경찰서, 지구대･파출소)를 연결하고 있는 경찰 정보통신망의 전용회선 비용 ⑥(경찰 정보시스템 및 구축 및 개선) ･변화하는 업무 환경에 신속히 대응할 수 있도록 신규 시스템 구축･ISP 사업･노후 시스템 고도화를 통해 시스템 이용자 편의 증대 및 업무 효율성 제고</t>
  </si>
  <si>
    <t>과학기술 기반 군중밀집 관리 기술 개발(R&amp;D)</t>
  </si>
  <si>
    <t>과학수사시스템구축(정보화)</t>
  </si>
  <si>
    <t>- 지능화･다변화된 범죄에 효과적으로 대응하기 위하여 다양한 수사자료 관리･분석 시스템 운영을 통해 일선 수사경찰의 신속･정확한 현장 수사 지원 - IT･BT 기반의 지능형 과학수사 시스템 구축 및 고도화를 통해 신원확인 정보 관리 및 효과적인 범인 검거 등 과학수사 지원 능력 강화 필요 - (지문 및 전과기록 관리시스템 재구축) 기초적인 수사 및 신원･범죄경력 확인의 근간이 되는 ｢지문 및 전과기록 관리시스템｣을 관련 업무와 함께 통합･재편하여 인프라 노후 화로 인한 위협 요소를 제거하는 한편, 자료 정확성 및 시스템 효율성 제고 - (전산장비운영지원) 일선 수사부서에서 전자수사자료표 작성 시 지문 채취에 필요한십지 라이브스캐너의 노후 교체 및 신설 수사부서 보급을 통한 수사 효율성 제고 - (현장증거물 수집 자동화시스템 구축) 대형재난･안전사고에서 사고 원인 규명 및 희생자 신원확인을 위한 증거물 수집･분류･입력 등을 자동화한 시스템 구축을 통해재난･사고 2024 2025(2025.11월말) 2026 예산 예산액 (추경) 예산 현액 집행액 [실집행액] 이월액불용액본예산 예산 현액 집행액 [실집행액] 전년도 이월액 제외 이월 예상액 불용</t>
  </si>
  <si>
    <t>과학적 범죄수사 고도화 기술 개발(R&amp;D)</t>
  </si>
  <si>
    <t>- (과학적범죄수사고도화기술개발) 과학기술을 활용한 경찰의 과학수사 기법 개발로 (과학) 수사 역량 강화로 용의자 조기 검거 기여 등 신속한 초기 수사 대응 지원 - (①내역: 법곤충 감정기법 데이터 구축) 시식성 파리 등 10종에 대한 법곤충 감정기법 데이터 구축을 위한 연구를 통해 사후 경과시간 추정 등 과학수사 현장에 활용 - (②내역: 인공지능 기반 위해기체 고속 분석 플랫폼 구축) 기존의 기체 분자 분석 기법 적용 2024 2025(’25.11월말) 2026 예산 예산액 (추경) 예산 현액 집행액 [실집행액] 이월액불용액본예산 예산 현액 집행액 [실집행액] 전년도 이월액 제외 이월 예상액 불용 예상액 예산 현액 집행액 [실집행액] ◦기능별 분류(합계)</t>
  </si>
  <si>
    <t>불법 마약류 대응을 위한 현장기술 개발(R&amp;D)</t>
  </si>
  <si>
    <t>- (불법마약류대응을위한현장기술개발) 불법마약류 대응을 위해 첨단 과학기술을 접목하여 치안･관세 현장에서 활용 가능한 불법 마약류 탐지･검사 기술 고도화 방안 마련 - (①내역: 불법마약류대응을위한현장기술개발) 치안･관세 현장에서 실제 활용가능한 불법마약류 탐지 라만분광시스템 및 간질액 기반 간이검사 마이크로니들패치 개발 2024 2025(’25.11월말) 2026 예산 예산액 (추경) 예산 현액 집행액 [실집행액] 이월액불용액본예산 예산 현액 집행액 [실집행액] 전년도 이월액 제외 이월 예상액 불용 예상액 예산 현액 집행액 [실집행액] ◦기능별 분류(합계) 500</t>
  </si>
  <si>
    <t>사이버범죄수사단서통합분석및추론시스템개발(R&amp;D)</t>
  </si>
  <si>
    <t>사이버수사 지원기술 개발(R&amp;D)</t>
  </si>
  <si>
    <t>- (사이버수사지원기술개발) 사이버 공간에서의 용의자 추적과 검거를 용이하게 하여 범죄 피해를 최소화하고 국민의 치안서비스 만족도 향상 도모 - (①내역: 디지털성범죄 대응 위장수사 지원용 가상인물 생성 및 관리기술 개발) 법적으로 아동･청소년 대상 위장수사가 허용됨에 따라 디지털성범죄 피해 예방 및 용의자 검거를 위해 가상인물을 생성하여 수사 현장에 투입하고 이를 관리하는 기술 개발 - (②내역: 허위조작 콘텐츠 진위여부 판별 시스템 개발) 딥페이크･딥보이스･가짜뉴스 등 콘텐츠 조작 기술에 대응, 멀티모달 형태의 탐지 알고리즘 개발로 진위여부 및 원천 게시물을 추적하고 이를 종합적으로 탐지할 수 있는 통합관리시스템을 구현 - (③내역: 로컬환경 인공지능 모델 대상 포렌식 기술개발) 로컬환경 인공지능 모델에 대한 2024 2025(’25.11월말) 2026 예산 예산액 (추경) 예산 현액 집행액 [실집행액] 이월액불용액본예산 예산 현액 집행액 [실집행액] 전년도 이월액 제외 이월 예상액 불용 예상액 예산</t>
  </si>
  <si>
    <t>차세대지능형순찰플랫폼개발(R&amp;D)</t>
  </si>
  <si>
    <t>치안데이터활용기술개발(R&amp;D)</t>
  </si>
  <si>
    <t>- (①내역: 치안 비정형 데이터 암호화 컴퓨팅 기술개발) 암호화 컴퓨팅 알고리즘 및 데이터 처리기술과 암호화 컴퓨팅 AI 알고리즘을 개발하고 검증 1) 암호화 컴퓨팅 알고리즘 및 데이터 처리 기술 개발</t>
  </si>
  <si>
    <t>형사·교통여성·청소년범죄수사역량강화</t>
  </si>
  <si>
    <t>①(형사활동지원) 형사활동 지원으로 강절도 등 서민생활 침해 민생범죄 및 살인･공중 협박･이상동기 범죄 등 사회적 불안을 야기하는 강력범죄 근절 ②(사회적약자 대상 범죄 전담 여청수사팀 역량강화) 여성･아동 등 사회적 약자를 대상으로한 성폭력･가정폭력･스토킹 등 범죄 대응력 강화를 위한 수사활동 지원 ③(사회적약자 대상 범죄피해자 지원) 성폭력피해자 조사 시 진술분석 전문가･속기사 참여 등 사회적약자 대상 피해자에 대한 수사활동 지원 ④(마약조직피싱 범죄수사활동 지원) 마약범죄 근절을 위한 첨단 수사장비 지원 및 시스템 구축, 외국인 범죄 및 피싱범죄 수사지원으로 조직범죄 수사활동 지원 ⑤(과학분석을 통한 정밀한 교통사고 조사) 급속히 변화하는 교통환경에 맞는 체계적･전문적 교육, 교통사고 분석장비 구입 등 교통사고 분석 능력 제고 ⑥(교통사고조사운영) 공정한 사고처리를 위한 현장 수사장비 지원으로 교통수사역량 강화</t>
  </si>
  <si>
    <t>고용노동부</t>
  </si>
  <si>
    <t>고용노동행정(정보화)</t>
  </si>
  <si>
    <t>- (세부사업명) 홈페이지, 전자민원, 내부업무 포털, 근로감독행정 등 고용노동정보시스템 구축·운영하여 안정적인 서비스 제공하는 한편 고용노동부 본부, 지방고용노동지청(48개), 위원회(15개), 고객상담센터 및 산하기관의 정보통신망을 구축·운영함으로써고용노동 행정의 효울화를 도모하고 대국민 서비스 강화 · (정보시스템 구축) 직원에게 업무정보와 소통공간을 제공하는 포털, 대국민 홈페이지 및 전자민원 시스템 운영, 데이터 개방 및 데이터기반행정 활성화 지원 · (정보시스템 유지보수) 노동부 전산자산(정보시스템·통신망·전산장비 등) 유지관리 위탁 운영 · (사이버안전센터 운영) 노동부 및 12개 산하기관이 보유한 보안장비 및 웹사이트에 대한보안관제를 위해 전문 보안업체에 위탁·운영 · (전산장비·SW 구매) 전산장비(PC, 모니터, 프린터) 및 업무용SW 구매 · (정보시스템 운영) 전산장비 구매 임차료, 통신회선료, 정보화사업 추진 운영비 · (AI노동법 상담) 국민의 노동법 질문에 맞춤형 답변 제공 등</t>
  </si>
  <si>
    <t>내일배움카드(고보)</t>
  </si>
  <si>
    <t>내일배움카드(일반)</t>
  </si>
  <si>
    <t>- (K-하이테크 플러스 사업 내 첨단산업·디지털 핵심 실무인재 양성훈련) 민간 혁신훈 련기관, 신기술 분야 선도기업, 대학 등을 통해 첨단산업·디지털 분야 핵심 실무인재를 양성 할 수 있도록 훈련비등 지원 - (K-하이테크 플러스 사업 내 첨단산업·디지털 기초역량훈련) 노동시장 참여자가 디지털역 량 부족으로 노동시장 진입‧적응에 어려움을 겪지 않도록 디지털 기초훈련 지원 - (돌봄서비스 훈련) 노인돌봄, 보육 등 중앙정부의 정책적‧제도적으로 양성이 필요한 분야에 대하여 특화훈련을 신설하여 체계적 관리 - (일반고 특화훈련) 취업을 희망하는 일반고 3학년 재학생의 직업능력개발훈련 기회 확대 및 노동시장 진입 촉진할 수 있도록 훈련비 등 지원</t>
  </si>
  <si>
    <t>- 조정․심판업무의 정보화를 지속적으로 추진하고 정보시스템을 안정적으로 운영함으로써 업무처리의 효율성 제고</t>
  </si>
  <si>
    <t>디지털 기반의 고용서비스 인프라 지원(정보화)</t>
  </si>
  <si>
    <t>미래환경변화 대응 산업안전보건 연구개발(R&amp;D)</t>
  </si>
  <si>
    <t>사업주직업훈련지원금</t>
  </si>
  <si>
    <t>- (사업주직업훈련지원금) 사업주가 재직근로자, 채용예정자 등을 대상으로 직업능력 개발훈련을 실시할 경우 소요비용 일부를 지원 - (일반훈련) 훈련과정을 인정받아 노동자 등을 대상으로 직업능력개발훈련을 실시할 경우 기업 규모별로 훈련에 소요된 비용 지원 * 기업훈련절차및지원체계개선으로기업의편의성을제공하고최신온라인훈련제공등양질의 기업훈련을지원 - (현장맞춤형체계적훈련) 중소기업 훈련컨설팅(능력개발전담주치의, 중소기업AI훈련확산 센터 등)을 통한 기업 맞춤형 훈련프로그램 개발․실시 지원, 민간주치의 육성, 행정 지원 등 중소기업의 체계적인 직무훈련 지원 서비스</t>
  </si>
  <si>
    <t>일자리정보플랫폼 기반 AI 고용서비스 지원(정보화)</t>
  </si>
  <si>
    <t>- (일자리정보플랫폼 기반 AI 고용서비스 지원) 개별 고용전산망에 분산된 일자리 관련 정보 및 외부 연계 데이터를 통합·구축한 국가일자리정보플랫폼을 기반으로 정책 수립을 위한 데이터 분석 지원 및 맞춤형 디지털 고용서비스를 구축·제공 - (국가일자리정보플랫폼 운영 및 유지관리) 각 고용전산망과 외부기관에 분산된 일 자리 관련 정보를 통합‧표준화하여 관리하는 ➊MDB(Master DataBase)*, ➋구직정 보ㆍ훈련ㆍ고용이력 등 개인 및 사업장 단위로 통합 정보를 조회하는 시스템(바로원), ➌고용ㆍ노동 데이터 분석을 위한 통합DW, ➍데이터 표준 및 품질 관리 시스템, ➎외부기관과 데이터를 연계하는 인프라 등의 운영·관리 * 워크넷, 고용보험, HRD-Net 등 개별 시스템별 데이터를 ‘개인‧기업‧서비스’ 기준으로 통합‧표준화 하여 구축한 기준정보 - (AI서비스 운영 및 유지관리) 구직자·기업 간 일자리 미스매치를 해소하고 국민의 全생애경력 설계 등을 지원하기 위해 ➊AI 기반 개인·기업 맞춤형 고용서비스를 구축·제공하고 고용 행정업무 효율성 제고 및 공공 고용서비스의 품질과 상담역량 강화를 위한 ➋AI 행정지원 서비스 구축 - (온톨로지센터 운영 및 유지관리) 직무역량 분석 등 맞춤형 AI 고용서비스 제공 기 반인 ➊직무온톨로지*의 구축·운영·관리 및 ➋신규 AI 고용서비스 발굴, 개념검증 (PoC) 업무 등을 위탁 * 컴퓨터가 이력서나 구인공고를 해석하고, 알맞은 직무역량을 도출할 수 있도록 도와주는 일종의 컴 퓨터 언어 사전 - (일자리정보플랫폼 운영지원) 일자리정보플랫폼 및 AI서비스 제공을 위한 각종 SW/HW의 유지보수 및 솔루션 도입</t>
  </si>
  <si>
    <t>직업능력개발담당자양성 및 훈련매체개발</t>
  </si>
  <si>
    <t>- (직업능력개발담당자양성 및 훈련매체개발) 국가산업발전의 핵심 역할을 수행하는 고급 기술‧기능인력의 직업능력개발(교육훈련)을 담당할 우수 직업능력개발담당자 (훈련교사, 실천공학기술자(기업현장교사), 인력개발담당자 등) 양성 및 재‧향상훈련과 첨단훈련매체를 활용한 전국민 평생직업능력개발 체제 구축 - (직업훈련교원 및 HRD담당자 양성) 직업능력개발담당자 및 전문가, 기업연계형 현장 실습 운영을 통한 직업능력개발 담당자(훈련교사, 실천공학기술자, 인력개발담당자) 양성 - (직업훈련교원 재‧향상연수) 직업훈련교사 및 담당자의 직무능력 향상, 신기술개발 연수, 첨단신산업분야 인력양성 등 훈련교원 양성 및 재교육 과정 - (평생능력개발 온라인훈련사업) 근로자, 구직자 등 전국민의 평생직업능력개발을 위한 온라인 훈련콘텐츠 개발 및 보급</t>
  </si>
  <si>
    <t>직업능력개발심사평가</t>
  </si>
  <si>
    <t>- (직업능력개발심사평가) 훈련기관 평가, 훈련과정 심사, 훈련성과 평가 및 모니터링을 종합적으로 운영하여 직업훈련 품질을 체계적으로 관리하고 재정 효율성을 제고 - (심사평가) ∙(훈련기관 평가) 동 사업은 정부지원훈련 참여 희망 기관의 기관건전성, 훈련성과 및 훈련실시 능력 등을 종합적으로 평가하여 훈련 품질을 향상시키고 부실기관 진입을 차단하는 것임 ∙(훈련과정 심사) 동 사업은 산업계가 요구하는 현장기반 훈련과정이 운영될 수 있도록 훈련내용, 시설･장비, 교･강사 등 적정성을 심사하여 양질의 훈련서비스 를 제공하는 것임 ∙(훈련과정 평가) 동 사업은 직업훈련과정의 평가 체계 및 평가실행의 적정성 (훈련생 학업성취도 포함)을 검증하여 훈련 성과를 제고하려는 것임 ∙(미래형 직업훈련전환 지원) 동 사업은 훈련기관을 대상으로 신교수법 및 디지털 전환 기술 적용 등 미래지향적 훈련방식으로 전환할 수 있도록 맞춤형 컨설팅을 지원하는 것임 ∙(직업훈련 모니터링) K-디지털 트레이닝사업 심층 모니터링을 통해 훈련 품질을 제고하는 것임 ∙(부정훈련 관리) 동 사업은 합동 지도·감독 및 공표제를 통해 부정·부실 훈련기관의 훈련시장 퇴출을 유도하고, 건전한 훈련시장을 조성하는 것임 ∙(첨단·전략분야 인력양성) 첨단분야 인력수요 급증에 따라 부처별 인력양성 사업을 체계적 관리 및 인력공급 확대하고자 하는 것임</t>
  </si>
  <si>
    <t>취약노동자지원</t>
  </si>
  <si>
    <t>○특고, 플랫폼, 프리랜서 등 현행 노동관계법의 충분한 보호를 받지 못하는 권리 밖 노동자의 권익 보호를 위한 사업 추진 - (취약노동자 참여·소통 활성화 지원) 이음센터, 타운홀 미팅을 통해 권리 밖 노동자의 권익 보호를 위한 상담·교육, 현장소통, 정책의제 발굴 등 다양한 프로그램 지원 • (근로자 이음센터 운영) 전통적 노동자를 대상으로 서비스를 제공하는 지방노동 관서와 달리 특고·플랫폼·프리랜서 등에 대한 특화된 고충 해결 및 교육, 고용 노동정책 연계를 수행, ’26년부터는 민간 노동센터 역량 강화 및 네트워크 형성 병행 • (취약노동자 타운홀 미팅) 특고·플랫폼·프리랜서 등 취약노동자가 직접 참여하는 지역·직종별 타운홀 미팅을 개최하여 현장의 니즈를 정책에 반영하는 프로그램 - (현장밀착형 취약노동자 권익 보호) 노동권익 상담·교육에 대한 전문성과 접근성을 갖춘 현장 밀착형 지원기구로 권리 밖 노동자의 권익 보호를 위한 최일선 기관 지원 - (노무제공자 미수금 회수 지원) 근로기준법상 근로자와 달리 보증보험 지원 등 체불 구제제도가 미흡한 특고·플랫폼 종사자, 프리랜서 등을 위해 미수금 분쟁 관련 무료법률 구조 지원 실시 (법률구조공단 수행) - (취약노동자 일터개선 지원) 취약노동자 권익 보호를 위해 노무제공자 등을 대상으로 쉼터 설치 및 복지 물품·서비스 지원을 위한 일터개선 지원사업 운영 - (취약노동자 보호) • (AI 기반 영세사업장 노동법 준수 자율점검) 사업주‧인사담당자가 웹사이트 상 에서 AI와 대화를 통해 근로계약서, 임금명세서 작성‧교부 의무, 최저임금 등 기초 노동질서를 지키고 있는지 스스로 점검할 수 있는 AI 서비스 개발‧실증‧시범운영 • (영세사업장 인사노무관리체계 구축지원) 규모가 영세하여 노동법 준수율이 낮은 소규모 사업장이 HR 플랫폼을 이용하여 인사 관리 역량을 갖추도록 지원하여 취약노동자 보호 강화 • (취약노동자 교육 및 법률구조상담 지원) 취약노동자 교육·상담·법률구조지원 사업을 추진하고자 하는 지방자치단체 등에 소요되는 사업 비용 일부 지원 • (비정규직 근로조건 보호 지원) 비정규직 근로자의 근로조건 개선과 차별 해소를 위하여 비정규직에 대한 차별시정, 파견법 준수 등 지도·점검, 정책연구 등 실시 • (필수업무종사자 보호·지원) 「필수업무 지정 및 종사자 보호·지원에 관한 법률」 제정·시행(’21년)에 따라 지원계획 수립, 실태조사 및 평가 등 국가의 책무 이행 - (노동단체 및 노사관계 비영리법인 지원) 협력적 노사관계 구축 및 취약노동자 권익</t>
  </si>
  <si>
    <t>과학기술정보통신부</t>
  </si>
  <si>
    <t>4대지역외 AX 대전환 기획</t>
  </si>
  <si>
    <t>- (사업목적) 5극 3특 권역 중심으로 인공지능 기반의 산업 혁신과 지역 경쟁력 강화를 위한 AX 대전환 실현을 통해 국가균형 발전 기틀 마련 - (사업내용) 5극 3특 권역별* 특화 산업·기업 및 지역수요를분석하고, AX 대전환로드맵 수 립, 투자계획 및 정책적·경제적·기술적 타당성 분석 등 사업 기획 * 5극(충남권), 3특(강원 원주 등, 제주)</t>
  </si>
  <si>
    <t>AGI 준비 프로젝트</t>
  </si>
  <si>
    <t>- (AGI 준비 프로젝트) 최적의 차세대 AI 연구조직 설립 방안 기획·도출하여, 민·관 협력 투자 방식의 차세대 AI 연구조직 설립이 적합할 경우에 한하여, 연구조직 설립 기반 초기 투자 추진 ․ AGI 기술선점의 중요성·시급성을 감안하여, 기획 내용 등에 근거한 속도감 있는 차세대 AI 연구조직 출범을 위해 관련 예산(안) 마련·요구</t>
  </si>
  <si>
    <t>AI AGENT 선도 국가 사업</t>
  </si>
  <si>
    <t>AI 공간 컴퓨팅 창업 생태계 활성화</t>
  </si>
  <si>
    <t>□(AI·공간컴퓨팅 창업 생태계 활성화) AI·공간컴퓨팅 산업의 기술창업 도전 활성화와 초기 창업기업의 안정적 성장 지원을 통한 기술집약 산업의 지속 가능한 기술창업 생태계 조성 - (로봇 기반 공간컴퓨팅 창업지원) 예비·초기 창업기업 대상 로봇 기반 신서비스 발굴 및 맞춤형 프로그램 운영을 통한 지역 창업 생태계 활성화</t>
  </si>
  <si>
    <t>AI 기반 뇌발달질환 디지털의료기기 실증지원</t>
  </si>
  <si>
    <t>◦(AI 기반 뇌발달질환 디지털의료기기 실증지원) 지역 의료기기 제조기업 기술 지원을 통한 디지털 치료기기 산업 생태계 저변확대 및 활성화 - (디지털치료기기 개발지원) 산-학-연-병 기반 뇌발달질환 관련 성과물 중에서 예방· 치료 분야 디지털 치료기기 사업화 및 고도화 연구 및 제품개발 및 성능 검증 - (실증지원) 협력병원 연계를 통한 디지털치료기기 제품 집중 실증지원/디지털 치료 기기 성능 테스트 및 인허가 컨설팅 지원 - (성과확산) 디지털 치료기기 인허가 완료, 준비중인 제품 시범서비스 운영 2024 2025 2026 예산 예산액 (추경) 예산 현액집행액이월액불용액예산액 (추경) 예산 현액 집행액 이월 액 불용 액 ○기능별 분류(합계) 5,000 5,000 5,000 [4,988] 5,000 5,000</t>
  </si>
  <si>
    <t>AI 기반 민군 유·무인복합체계 주파수 공동사용 및 운용 기술 개발</t>
  </si>
  <si>
    <t>AI 기반 주파수 간섭분석 및 전파 예측기술 개발(R&amp;D)</t>
  </si>
  <si>
    <t>- (AI 기반 주파수 간섭분석 및 전파 예측기술 개발) 실 전파환경의 주파수 특성을 정확하게반영하는 AI 기반의 주파수 간섭분석 및 예측기술을 개발하여 최적화된 주파수 자원을 효율적으로 공급하는 디지털 주파수 관리 패러다임 변화를 주도 · (AI 기반 차세대 주파수 간섭분석 기술 개발) 차세대 전파기반 융합 신산업의 활성화에 필수인 고품질 주파수를 적시·적량 공급하기 위해 AI 기반으로 실 전파 환경을 반영한 주파수 간섭분석 기술 개발 · (차세대 모빌리티 고속통신 전파예측 기술 연구) 자율주행 자동차, UAM 등 융합 서비스와 연계된 ‘3차원 배치 및 이동성’을 특징으로 하는 새로운 개념의 전파환경 도래에 따라, 3차원 이동체 환경에 대한 AI 기반 전파 경로손실 예측기술 개발 2024 2025 2026 예산 예산액 (추경) 예산 현액 집행액이월액불용액예산액 (추경) 예산 현액 집행액이월액불용액 ○기능별 분류(합계) - - - - - 1,000 1,000</t>
  </si>
  <si>
    <t>AI 반도체 실증 지원</t>
  </si>
  <si>
    <t>- (AI반도체 실증 지원) AI데이터센터·온디바이스 AI 등 주요 수요 분야와 연계한 실증 및 사업화 지원을 통한 국산 AI반도체 조기상용화 지원 - (AI반도체 응용실증지원) 국산 AI반도체(서버용·엣지용)에 다양한 AI서비스를 적용하여, 비공개 기능·성능 테스트 및 AI반도체 실증을 통한 레퍼런스 확보 지원 - (온디바이스 AI 서비스 실증.확산) 온디바이스 AI 서비스 공공분야 대규모 선도 적용을 통한 효과성 검증 및 실증 성과 공유로 서비스 확산 등 온디바이스 AI 생태계 활성화 - (국산AI반도체 조기상용화 지원) 기존 소규모·기술검증 중심의 실증 지원을 넘어, 국산 AI반도체의 시장 경쟁력 강화 및 조기 상용화를 뒷받침하는 대규모 실증 및 수요창출 중점 지원 - (AX 실증지원) 기 상용화된 다양한 AI서비스 및 디바이스를 국산 AI반도체를 통해 구동하고 상용제품化 지원</t>
  </si>
  <si>
    <t>AI 반도체 지원플랫폼</t>
  </si>
  <si>
    <t>AI 분야 오픈소스 생태계 조성</t>
  </si>
  <si>
    <t>- (사업목적) AI 분야오픈소스활용 기업 성장및 인재 양성을 통한 개방형 AI 생태계 구축및 글로벌 산업 경쟁력 강화 - (오픈소스 AI·SW 활용 지원) AI 분야 오픈소스(SW, LLM 등)를 활용한 제품·서비스 개발·사업화및 컨설팅(라이선스 검증, 기술, 품질 관리 등) 지원 - (오픈소스 AI·SW 커뮤니티 활성화) AI 분야 오픈소스 생태계글로벌 리더급 개발자 육성 관련 인재 양성 프로그램운영 및 커뮤니티 활성화등 지원</t>
  </si>
  <si>
    <t>AI 융합 OTT 글로벌 진출 확산 지원</t>
  </si>
  <si>
    <t>- (AI 융합 OTT 글로벌 진출 확산 지원) 글로벌 미디어 플랫폼으로 급부상한 “FAST” 시장 진출을 위해 ‘AI기업+플랫폼 기업(스마트TV)+스트리밍 기업’이 연합하여 해외진출 확산 * FAST(광고기반무료스트리밍TV) : Free Ad-supported Streaming Tv ‧ 우리나라 FAST 플랫폼(전 세계 6억대 이상 보급)을 기반으로 글로벌 K-FAST에 송출되는 스트리밍서비스의 AI 더빙 특화 현지화 지원*을 통한 K-채널 글로벌 확산 * 고품질AI 더빙+ AI 화질개선+ AI 음원제거‧생성등현지화종합지원</t>
  </si>
  <si>
    <t>AI+S&amp;T 혁신 기술 개발(R&amp;D)</t>
  </si>
  <si>
    <t>- (AI+S&amp;T 혁신기술개발) AI 기반 첨단 연구개발 혁신을 통해, 우리나라 전략분야*에 서 세계 최고 수준의 연구 성과 및 산업 경쟁력 확보를 위한 신구조·신물성 탐색, 실 험설계·수행, 결과 분석 등 기존 R&amp;D를 혁신하는 연구 분야별 특화 AI 모델 개발 * 예) 바이오, 재료·화학, 지구과학, 반도체·디스플레이, 에너지·거대과학, 이차전지등</t>
  </si>
  <si>
    <t>AI-RAN 글로벌 선도 프로젝트(R&amp;D)</t>
  </si>
  <si>
    <t>ㅇ 글로벌 AI-RAN 시장 주도권 선점을 위해 한-미 협력 기반, 6G 상용화 이전까지 AI-RAN 연구 플랫폼을 통해 오픈랜 장비에 AI 기능을 탑재하여 AI-RAN 기술 경쟁력을 확보 - (AI-RAN 글로벌 선도 프로젝트) AI-RAN 기술 개발을 위해 학습에 필요한 네트워크 환경 데이터를 확보하고 AI 학습·추론을 적용하여 기지국 최적화·고도화를 선제적으로 연구 가능한 플랫폼* 구축 * AI-RAN 연구 플랫폼: AI-RAN 가상 네트워크 연구 플랫폼 + 실증망 통합 시스템</t>
  </si>
  <si>
    <t>AI-네이티브 첨단바이오 자율실험실(R&amp;D)</t>
  </si>
  <si>
    <t>- (AI-네이티브 첨단바이오 자율실험실) 기존 노동집약적으로 운영되는 첨단바이오 실험실의 AX(AI 전환)을 실현하기 위해, AI 및 로봇 기술을 실험·연구 프로세스에 적용 - (첨단바이오 자율실험실 구축 및 실증) 범용(1개, 총괄) 및 특화분야(5개) ①(분야1-총괄) 첨단바이오 범용 1개 자율실험실 구축 및 플랫폼 통합시스템화 ②(분야2) 첨단바이오 특화분야별 5개 자율실험실 구축 및 플랫폼 통합시스템화</t>
  </si>
  <si>
    <t>AIxBio 혁신 연구거점 조성 시범사업(R&amp;D)</t>
  </si>
  <si>
    <t>ㅇ (AIxBio 혁신 연구거점 조성 시범사업) AI 바이오 분야의 기술축적·인재양성·산업확산이 유기적으로 연결되는 선순환 생태계를 조성하기 위한 국가차원의 AI 바이오 혁신 거점 시범 조성 - (AI바이오 혁신 연구거점 구축) AI 바이오 분야의 기술 축적·인재양성·산업확산이 유기적으로 연결되는 선순환 생태계를 조성하기 위한 국가차원의 AI 바이오 혁신 거점 육성 지원</t>
  </si>
  <si>
    <t>AI·SW 중심대학</t>
  </si>
  <si>
    <t>AI·블록체인 융합 기반 자율형 고신뢰 핵심기술 개발(R&amp;D)</t>
  </si>
  <si>
    <t>o AI-블록체인 융합 기반 고신뢰 디지털 인프라를 구현하여 블록체인의 투명성과 검증 기능을 통해 보다 안전하고 자율적인 분산형 AI 생태계 구현</t>
  </si>
  <si>
    <t>AI기반 개방형 자율 디지털트윈 핵심기술 개발(R&amp;D)</t>
  </si>
  <si>
    <t>AI기반 맞춤형 케어서비스 융합선도(R&amp;D)</t>
  </si>
  <si>
    <t>AI기반 안전 관리분야 디지털 트윈 선도</t>
  </si>
  <si>
    <t>AI기반 어장 공간정보 빅데이터 플랫폼 구축 및 활용</t>
  </si>
  <si>
    <t>AI기반 침해대응체계 구축(C-Brain)</t>
  </si>
  <si>
    <t>ㅇ 정보통신분야 침해사고 대응 업무절차에 생성형 AI를 도입하여 사고대응 프로세스를 최적화·자동화함으로써 사고분석·대응 시간 단축 및 국민 피해 최소화 - (AI 기반 침해대응체계 구축·운영) 침해사고 신속 대응 및 분석 자동화를 위해 생성형 AI기반 침해대응체계(C-Brain) 구축·운영</t>
  </si>
  <si>
    <t>AI기반가상융합산업육성</t>
  </si>
  <si>
    <t>AI기반개방형5G-A융합서비스테스트베드구축운영(R&amp;D)</t>
  </si>
  <si>
    <t>ㅇ (AI기반 개방형 5G-A 융합서비스 테스트베드 구축운영(R&amp;D)) - 차세대 네트워크 기술 발전에 따라 테스트베드 운영·고도화를 통해 국내 무선통신 기술 경쟁력을 강화하고, 장비·단말·융합서비스 등 글로벌 시장 선점 도모 - 상용망 수준의 5G-A 테스트베드에서 학계 및 연구계, 중소·벤처기업의 무선통신 분야 장비·단말·융합서비스 대상 기술개발·시험검증 등 수행 지원</t>
  </si>
  <si>
    <t>AI기반디지털가상핵융합로플랫폼개발사업(R&amp;D)</t>
  </si>
  <si>
    <t>- (AI기반 디지털 가상 핵융합로 플랫폼 개발사업) 세계 최초 범용적 디지털 가상 핵융합로 플랫폼 구현을 통해 최근 급격하게 성장하고 있는 글로벌 핵융합로 건설·운영 시장 선도 및 부가가치 창출 - (1내역, 확장형 가상 핵융합로 플랫폼 구현) 최신 디지털 기술 접목 확장형 가상 핵융합로(Virtual Fusion Reactor) 플랫폼 개발 - (2내역, AI 기반 분석·제어 모듈 개발) 핵융합로 상태 자동 분석 제어를 위한 AI 기술 개발 및 KSTAR 고속제어 기술 개발</t>
  </si>
  <si>
    <t>AI반도체 기반 데이터센터 고도화 선도기술개발(R&amp;D)</t>
  </si>
  <si>
    <t>AI반도체를 활용한 K-클라우드 기술개발(R&amp;D)</t>
  </si>
  <si>
    <t>o (AI반도체를 활용한 K-클라우드 기술개발) 국가전략자산인 AI컴퓨팅 인프라 경쟁력 확보를 위해 국산 AI반도체 기반 세계 최고 수준의 AI 컴퓨팅 HW·SW 핵심기술 확보 - (AI반도체 데이터센터 인프라 및 HW) AI반도체(NPU,PIM), 지능형 메모리/스토리지, 고속 인터페이스 등으로 구성된 클라우드 인프라 기술개발 - (AI반도체 데이터센터 컴퓨팅 SW) AI반도체를 활용하여 초거대 AI모델의 추론/학습 및 서빙을 효율적으로 지원하는 단일 시스템 또는 클러스터 컴퓨팅SW 기반 기술개발 - (AI반도체 특화 클라우드) 국산 AI반도체 기반 서버를 클라우드 데이터센터에 적용한 클라우드 아키텍쳐 통합설계, 플랫폼 기술개발 등을 통해 전력 대비 성능이 우수한 클라우드 시스템 개발</t>
  </si>
  <si>
    <t>AI반도체첨단이종집적기술개발(R&amp;D)</t>
  </si>
  <si>
    <t>AI산업육성</t>
  </si>
  <si>
    <t>ㅇ (AI산업육성) 인공지능 기반 디지털 전환 촉진, AI신뢰성 검증체계 마련 및 공공 부문 AI융합 가속화 등을 통한 인공지능 응용서비스 개발 활성화 - (AI산업생태계지원) 인공지능(AI) 응용서비스 개발 활성화를 위해 AI바우처, 고성능 컴퓨팅 지원 및 부처협업 기반 AI솔루션 개발·실증 등을 통한 AI산업 생태계 지원 · (부처협업 기반 AI확산) 부처 간 협업을 통해 AI 솔루션·서비스 등을 개발·실증하여 공공부문 AI 도입·확산을 유도하고 AI 기업 경쟁력 강화 - (AI정책제도지원) 지속가능한 AI 산업 발전과 AI 기술의 사회적 수용도 제고를 위해 AI 신뢰성 확보를 지원하고 AI 기술에 대한 사회적 우려(차별·편향 심화, 사생활 침해 등) 해소를 위해 AI 신뢰성 검증</t>
  </si>
  <si>
    <t>AI생태계 보안 내재화 핵심기술개발(R&amp;D)</t>
  </si>
  <si>
    <t>ㅇ (AI생태계보안내재화핵심기술개발) 신종 사이버공격이 AI 생태계를 위협할 수 있는 모든 예상 취약 지점에서 보안을 강화할 수 있는 AI 보안 내재화 핵심기술개발</t>
  </si>
  <si>
    <t>AI선박 특화 플랫폼 및 애플리케이션 개발·실증</t>
  </si>
  <si>
    <t>AI연구용컴퓨팅지원프로젝트(R&amp;D)</t>
  </si>
  <si>
    <t>AI융합 지능형 농업 생태계 구축</t>
  </si>
  <si>
    <t>ㅇ (AI융합 지능형 농업 생태계 구축) AI기반 지능형 농업기술의 융합·확산 기반 조성 및 경쟁력 강화를 위해 AI기반 농기계 자율작업 및 정밀농업 기술 개발·실증 - 농기계 자율작업 및 정밀농업 AI솔루션들을 상호 연계하여 지능형 농업기술의 통합 관제 시스템 구축 및 실증 - 농업데이터 수집·가공 플랫폼을 구축하여AI 자율 농작업 및 농작물 상태 분석· 예측 등 정밀농업 AI솔루션 개발 - AI기반 자율 농작업·관제 솔루션의 고도화 지원 및 신규 AI 농업 서비스 확산 기반 조성</t>
  </si>
  <si>
    <t>AI응용제품 신속상용화 지원사업(보안·네트워크·생활 등)</t>
  </si>
  <si>
    <t>AI일상화확산</t>
  </si>
  <si>
    <t>ㅇ 초거대 AI 기반의 경쟁력 있는 응용서비스 개발·실증 지원을 통해 전문분야 종사 자의 업무 보조 및 효율화를 도모하고 국민 일상 속 AI 활용·확산 - (AI기반 보건의료 서비스 선도) 소아·청소년과 의료진 지원, 보호자 상담 지원 등을 초거대 AI 플랫폼을 활용해 지원하는 서비스 개발·실증 - (AI 심리케어·돌봄지원) 심리상담 전문인력을 지원하기 위한 AI기반 상담일지 생성･ 요약･분석 지원 등의 초거대AI 기반 심리케어 전문가 보조 서비스 개발ㆍ실증</t>
  </si>
  <si>
    <t>AI정밀의료SW선도기반조성</t>
  </si>
  <si>
    <t>ㅇ (AI 정밀의료SW 선도기반조성) 의료분야 AI 활용 확산을 지원하여 공공 분야 의료 서비스향상, 공공의료 AI자원 확충 및 디지털 헬스케어 생태계 육성에 기여 · (정밀의료SW 서비스 구축 지원) 공공의료 자원 부족 등 문제 해소를 위해, 공공의료 기관 특성에 맞는 AI 진단보조 SW 도입 지원 및 클라우드 기반 진료 협력 플랫폼을 통한 의료기관(1~3차 병원 등) 간 디지털 협력 생태계 조성 · (정밀의료SW 산업 육성 지원) AI의료 역량을 갖춘 디지털 전문 의사 양성을 위한 의료AI 교육 과정 의대 정규과정 도입 및 확산 지원</t>
  </si>
  <si>
    <t>AI최고급신진연구자지원사업(R&amp;D)</t>
  </si>
  <si>
    <t>AI컴퓨팅 자원 활용 기반 강화</t>
  </si>
  <si>
    <t>- (AI컴퓨팅자원활용기반강화) AI 컴퓨팅 자원의 활용 및 확산 기반 마련을 위한 연구· 서비스 개발 등 현장 수요 대응부터 생태계 조성까지 AI 산업 全주기 성장 지원 - (GPU서버확충) 국내 AI 생태계 지원을 위한 GPU 서버 확충 지원 - (GPU통합운영환경구축) GPU 서버 확충에 따른 대규모 클러스터링 지원 등 통합 운영환경 구축 지원 - (GPU임차-WBL운영비등) 글로벌 수준의 AI 파운데이션 모델 개발 확보를 위한 실력 있는 국내 AI 기업 지원(’25년1차추경 독자AI파운데이션모델프로젝트 등) 등 국가적 프로젝트 사업 관리 지원 - (소형데이터센터기반AI산업성장지원) AI 서비스 개발 수요에 적시 대응 가능한 소규모 데이터센터 등 AI 인프라의 활용성‧접근성을 제고하고 이를 활용한 중소기업, 스타트업의 산업 분야별 AI 혁신 서비스 개발 지원 - (공공AI클라우드서비스개발지원) 공공부문 대규모 정보시스템(공공 병원정보시스템)의 클라우드 전환을 위해 민간 클라우드 기반 AI-SaaS 개발·실증 지원 ※ 향후 공공 대규모 정보시스템의 공통 모듈(기능)을 SaaS로 개발·전환 지원 사업 추진</t>
  </si>
  <si>
    <t>AI클라우드 경쟁력강화 기술개발(R&amp;D)</t>
  </si>
  <si>
    <t>(AI 클라우드 경쟁력강화 기술개발) ㅇ (사업목적) 국산 AI 클라우드 핵심 인프라 기술 자립과 글로벌 수준의 AI 서비스 인프라 구축 - AI 클라우드의 핵심 기반 기술을 국내 기술로 확보하여 AI 컴퓨팅 인프라의 해외 의존도 낮추고 기술 주권 강화 ㅇ (내용) GPU 클러스터 기반 AI 모델의 혁신적인 개발이 가능하도록 효율적인 자원 활용과 성능 향상을 위한 최적화 기술 개발 - 국내 AI 데이터센터의 네트워크 플랫폼 국산화율을 50% 이상으로 향상 - AI 워크로드 특성을 반영한 GPU 활용율 현재 대비 20% 개선 ㅇ (성과물) GPU 클러스터 네트워크 운영 관리 플랫폼 SW, AI 워크로드 최적화 GPU 오케스트레이터, AI 특화 병렬 스토리지 시스템 등 - 글로벌 시장은 엔비디아와 같은 소수 기업의 기술에 크게 의존하고 있어, 비용 부담과 기술 의존도가 높아 국내 AI 클라우드 인프라의 기술 자립성과 경쟁력 강화를 위해 대체 기술 개발 - 국내 주요 CSP 외에도 다양한 규모의 GPU 클러스터 구축 수요가 있으며, 클라우드 인프라 구축 기업 또한 본 사업의 수혜기업임</t>
  </si>
  <si>
    <t>AI통합바우처</t>
  </si>
  <si>
    <t>- (AI통합바우처) 국내 AI 활용 확산과 시장 확대를 위해 AI 서비스와 개발･활용기반 (고성능컴퓨팅자원･클라우드･데이터 등)을 바우처 형태로 제공하여 국내 AI 산업 경쟁력 제고 및 선순환 생태계 조성 · (고성능컴퓨팅지원) AI 연구개발 생산성･경쟁력 제고를 위해 민간의 학습･추론용 고성능컴퓨팅 자원을 임차하여 중소·벤처기업 등에 제공 · (AX원스톱 바우처 지원) 수요기관의 전사적 AI･디지털 전환을 목표로 필요한 기술･ 인프라･데이터를 바우처로 통합 제공해, AX 성공사례 확보 · (AI 바우처 지원) AI 솔루션을 도입하고자 하는 수요기업에게 바우처를 지원하여 국내 기업 AI 도입 촉진 및 AI 산업 경쟁력 강화 · (중소기업 등 클라우드 서비스 보급･확산) 국내 중소기업에 클라우드서비스 도입 지원으로 국내 디지털 전환 촉진 및 클라우드 산업 경쟁력 강화 · (데이터 바우처) 중소기업, 소상공인, 예비창업자 등이 비용부담 없이 데이터 기반 제품·서비스의 개발에 필요한 데이터 비용을 바우처로 지원</t>
  </si>
  <si>
    <t>AI혁신을 위한 데이터 안전 활용 지원 사업</t>
  </si>
  <si>
    <t>o (AI혁신을 위한 데이터안전활용 지원) 고품질 미개방 데이터와 안전한 분석 환경이 제공되는 데이터안심구역*을 활용도가 높은 지역거점을 중심으로 확산·고도화하고, 안심구역 간 공동 연계 거버넌스 통해 AI혁신을 위한 데이터 안전 활용 기반 마련 * 사전신청 및 승인 절차를 통해 물리적·기술적·관리적 보안환경을 갖춘 지정된 장소에서만 데이터를 활용하고, 분석 결과물만 반출할 수 있도록 조치한 환경 (데이터산업법 제11조 근거) - (데이터안심구역 연계시스템 기획) 분절되어 운영 중인 데이터안심구역을 연계하고 미개방 데이터 및 보안 분석 환경 등을 공동으로 활용할 수 있는 안전한 데이터 연계 체계 구축 - (데이터안심구역 전환 및 고도화 지원) 기존 안심구역의 고도화 및 신규 지정 희망 기관을 대상으로 필수요건*을 충족할 수 있도록 지원 * ①시설 및 공간(시설 통제, 장비 시스템 구축 등), ②조직 구성 및 운영(전문 운영 조직 구성 등, ③보호조치(암호화, 반·출입 환경관리 등) 등 물리적·관리적·기술적 보안대책 마련 등 포함</t>
  </si>
  <si>
    <t>AI활용 미인증 기자재 온라인 모니터링 시스템 구축</t>
  </si>
  <si>
    <t>- (AI 활용 미인증 기자재 온라인 모니터링 시스템 구축) ①사업 목적: 적합성평가(KC인증)를 받지 않고 유통되는 전기⋅전자⋅통신 제품들에 대해 주된 유통 경로인 온라인 플랫폼 대상 모니터링을 위해 AI 도입⋅활용 추진 ②사업 내용: 적합성평가 관련 법령(고시), 방송통신기자재 적합성평가 및 민원 처리 현황 등의 데이터를 기반으로 AI를 학습시키고, 온라인상의 판매 글에서 인증 관련 정보를 AI가 스스로 수집⋅분석하여 인증 여부를 판단하는 모니터링 시스템 구축을 위한 ISP 수립</t>
  </si>
  <si>
    <t>AX 혁신기업 창의 기술개발(R&amp;D)</t>
  </si>
  <si>
    <t>o (AX혁신기업창의기술개발) AX 혁신기업 주도의 자율 기획형 R&amp;D 지원으로 새로 운 AI 제품·서비스창출 등 기업의 창의성을 극대화하고 다양한 산업의 AX 촉진 - 12대 전략기술 분야에 신속 적용(2년 내)할 수 있는 AX 제품·서비스 개발 지원</t>
  </si>
  <si>
    <t>AX실증밸리조성(R&amp;D)</t>
  </si>
  <si>
    <t>- ('모두의 AI' 구현) AI 적용의 혜택이 특정 그룹에 제한되지 않고, 누구나 AI를 활용 하여 삶의 질을 향상시키고 혁신을 도모할 수 있는 ‘모두의 AI’ 구현(10개 과제) - (미래 모빌리티 AX 혁신) 물리 세계와 주어진 상황에 스스로 적응하고진화하는 Physical AI 기반의 초지능 자율주행 모빌리티 (2개 과제) - (AX 촉진 거점 구축) 대규모 AI 연구개발 및 실증에 필수적으로 요구되는 고성능 AI 컴퓨팅 자원 및 AI 연구개발과 연계한 실증 및 상용화까지의 모든 과정을 지원하는 AX 혁신 인프라 구축</t>
  </si>
  <si>
    <t>ICT 전략융합 R%26D 바우처 지원(R&amp;D)</t>
  </si>
  <si>
    <t>- ICT전략기술 분야에 도전하는 중소·중견기업의 애로기술 해소와 기술개발 역량 강화를 위해 R&amp;D 바우처 지원으로 국내외 시장진출 및 ICT 전략기술 선도기업 육성</t>
  </si>
  <si>
    <t>ICT기반 디지털서비스 탄소중립 혁신기술개발(R&amp;D)</t>
  </si>
  <si>
    <t>- (사업목적) 국제사회의 탄소규제 강화 대응 및 탄소중립 디지털서비스 기술 경쟁력 강화를 위한 탄소 데이터 자동 정보화·지식화 및 전주기 탄소발자국 핵심기술 개발 - (내용) 동 사업은 빅데이터·AI·디지털트윈 등의 ICT 기반 탄소 데이터 자동화 수집, 데이터 분석, 예측, 의사결정 등을 전주기 분석 지원하는 실질적이고 체계적인 디지털 탄소중립 핵심기술 개발 및 디지털 서비스 산업 연계·실증 추진을 목표로 함 2024 2025(2025.7월말) 2026 예산안 예산액 (추경) 예산 현액 집행액 [실집 행액] 이월액불용액본예산 예산 현액 집행액 [실집 행액] 전년도 이월액 제외 이월 예상액 불용 예상액 예산 현액</t>
  </si>
  <si>
    <t>ICT융합 지능 디바이스 개발 활성화 및 확산 기반구축(R&amp;D)</t>
  </si>
  <si>
    <t>K-AI 네트워크 경쟁력 강화 사업</t>
  </si>
  <si>
    <t>K-Health 국민의료 AI서비스 및 산업생태계 구축</t>
  </si>
  <si>
    <t>- (광주 AI 의료생태계 구축) AI특화병원과 상용화 인프라를 구축해 의료AI 기술의 실증부터 인허가·상용화·글로벌까지 전주기를 지원 - (대구 AI 의료생태계 구축) 대구 지역 기반으로 지속가능한 의료데이터 활용 체계 마련 및 지역 기업 육성 지원 - (AI 의료지원 플랫폼 구축) 헬스케어 데이터 활용 지원을 통한 데이터 활용 생태계 구축으로 데이터․AI융합 헬스케어 산업 육성</t>
  </si>
  <si>
    <t>PIM인공지능반도체핵심기술개발(R&amp;D)</t>
  </si>
  <si>
    <t>○(PIM 인공지능반도체핵심기술개발(설계)) PIM* 인공지능 반도체 초격차 기술확보 및 산업 생태계 구축을 통한 글로벌 기술‧시장 주도권 확보 * Processing in memory : 저장(메모리)과 연산(프로세서) 기능을 통합한 신개념 반도체 - (PIM 설계기술) 프로세서·로직과 메모리(DRAM 등)를 융합한 PIM 반도체 개발 및 성능검증용 칩 제작 지원 - (PIM 혁신기반기술) 시스템 아키텍처 및 SW, 인터페이스 및 인력양성 등 PIM 기반 기술개발 지원</t>
  </si>
  <si>
    <t>SW컴퓨팅산업원천기술개발(R&amp;D,정보화)</t>
  </si>
  <si>
    <t>- (SW컴퓨팅산업원천기술개발) 4차 산업혁명을 견인하는 지능화‧융합 SW기술 확보를 통한 SW기술 선진국 도약 - (응용기반SW핵심기술) 비대면 업무환경 등 차세대 디지털 워크 환경을 지원하고 소프트웨어 서비스를 자율화, 지능화하여 디지털 혁신을 지원하기 위한 핵심기술 개발 - (빅데이터핵심기술) 데이터 수집‧유통‧활용의 생태계 지원 및 AI · 4차 산업혁명을 견인 하는빅데이터의 지능화·융합 핵심기술 개발 - (컴퓨팅핵심기술) 클라우드를 포함한 초고성능 컴퓨팅, 엣지 컴퓨팅, 데이터 중심 컴퓨팅등 미래형 컴퓨팅 아키텍처 및 SW 자체의 신뢰성 확보를 지원하는 SW핵심기술 개발 - (SW스타랩) SW 기반기술 분야별 연구거점(대학)을 구축하여 대학의 다양한 창의성을 바탕으로 실전적 SW 연구개발 지원 2024 2025(’25.12월말) 2026계 획 계획액 (수정) 계획 현액 집행액 이월액 불용액계획액 (추경) 계획 현액 집행액 이월액불용액 ○기능별 분류(합계) 111,814 111,814 111,814 - -</t>
  </si>
  <si>
    <t>World Best LLM 데이터 활용 지원</t>
  </si>
  <si>
    <t>ㅇ(World Best LLM 데이터 활용 지원) 글로벌 수준의 독자적인 AI모델의 신속한 개발에 필요한 데이터를 전폭 지원하고 AI 모델 간 경쟁 환경을 조성하여 AI생태계 활성화 도모 ※ (국정과제20-3) AI 3대 강국 도약을 위한 AI 고속도로 구축- 생성형AI 학습데이터 확보 및 국가 데이터 통합 플랫폼 구축 (국정과제 21-1) 세계에서 AI를 가장 잘 쓰는 나라 구현- AI파운데이션 모델 확보 및 확산 ※ (국가 AI 역량 강화 방안) 딥시크 돌풍에 따라 우리도 충분한 지원이 있으면, 글로벌 수준의 AI 파운데이션 모델 개발 가능 공감대 형성→AI 정예팀을 선발하여 글로벌 Top 수준의 LLM을 개발할 수 있도록 핵심 인프라(GPU·데이터·인재)를 패키지 집중 지원(제3차 국가인공지능위원회) - (WBL프로젝트 데이터 지원) 「독자 AI 파운데이션 모델 프로젝트」수행기관(이하 ’정예팀 ‘ 또는 ’K-AI팀‘)의 AI모델 개발 계획에 따라 필요한 데이터의 공급·제공 및 구축·가공 지 원 - (WBL 평가·검증 기반 조성) AI모델의 성능 및 안전성을 객관적으로 평가·검증할 수 있는 고품질 벤치마크 데이터를 구축하고 공개 경쟁·평가 체계(리더보드) 마련</t>
  </si>
  <si>
    <t>가상융합기반피지컬AI핵심기술개발(R&amp;D)</t>
  </si>
  <si>
    <t>가상융합지능화핵심기술개발(R&amp;D)</t>
  </si>
  <si>
    <t>강원 의료 AX 산업 실증 허브 조성</t>
  </si>
  <si>
    <t>◦지역(강원)이 보유한 의료데이터와 인공지능(AI)을 결합한 의료 AX(AI 전환) 기술을 실제 의료 현장에 적용·검증하여, 병원 환경에서 신속하게 실증하고 산 업화로 확산할 수 있는 「의료 AX 산업 실증 허브」를 조성하고자 함. * 조기진단 ‣ 예후예측 ‣ 치료설계 ‣ 회복관리 ⇨ ‘암 특화 전주기 서비스’ 개발 및 실증 - (진료지원 다기능 피지컬 AI) 의료·간호·간병 환경에서 환자 상태를 실시간으로 인식·분석하고, 의료진의 진료 및 돌봄 업무를 보조하는 피지컬AI - (암치료 특화 에이전트형 AI) 영상, 임상, 생체신호 등 다양한 의료데이터를 종합 추론하여 진단 보조, 예후 예측, 치료·관리 계획 수립 등 의료진의 의사 결정을 지원하는 자율형 AI 에이전트 서비스 개발·실증 2024 2025 2026예 산안 예산액 (추경) 예산 현액 집행액 이월액불용액 예산액 (추경) 예산 현액 집행액 이월액불용액 ○기능별 분류(합계) - - - -</t>
  </si>
  <si>
    <t>거대인공신경망인공지능반도체SW기술개발(R&amp;D)</t>
  </si>
  <si>
    <t>건전정보문화조성(정보화)</t>
  </si>
  <si>
    <t>○(건전정보문화조성) 전 국민 대상 건전한 정보기술 이용 문화 조성을 위한 정보문화의 달 운영, 스마트폰 과의존 예방·해소 등의 사업을 통해 AI‧디지털 역기능에 대응하고 건강한 디지털 이용환경을 조성 - (건전정보문화확산) 전 국민 대상 디지털 포용 정책과 건전한 디지털 문화 확산을 위한 정보 문화의 달 및 기념식 운영, 유공자 포상 등 - (인터넷‧스마트폰 과의존 예방‧해소) 올바르고 건강한 지능정보서비스 이용을 위한 관계부처 합동 정책수립, 예방교육 및 전문상담 지원 - (디지털 스트레스 진단‧대응) AI‧디지털 일상화에 따른 국민의 연결되지 않을 권리 보장 등 접속 및 정보 과잉으로 인한 스트레스 진단‧대응 필요 - (AI 역기능 대응 실증·확산) 국민의 삶과 밀접한 부문에서 발생할 수 있는 AI 역기능 선제적 대응을 위한 관련 기술 실증과 후속 과제 발굴 및 실증 결과물 확산</t>
  </si>
  <si>
    <t>경량·저전력 AI 한계극복기술개발(R&amp;D)</t>
  </si>
  <si>
    <t>경쟁형 AI혁신인재 성장 지원</t>
  </si>
  <si>
    <t>고성능 AI(Hyper-AI) 네트워크 기반조성 사업</t>
  </si>
  <si>
    <t>ㅇ 사업목적 - AI 시대의 버티컬 신산업을 창출하기 위한 데이터수집, AI 학습·추론 등 AI 워크로드를 지원하는 고성능 AI(Hyper-AI) 네트워크 조성 필요 ㅇ 사업내용 - AI 워크로드(데이터수집→AI학습→AI추론→AI이용)를 지원하는 선도망 구축 및 AI 디바이스 실증 연계를 통한 융합서비스 발굴 및 고성능 AI(Hyper-AI) 선도망 관련 생태계 활성화를 촉진할 수 있는 협의체 구성·운영을 통한 기술 교류</t>
  </si>
  <si>
    <t>공공AX프로젝트</t>
  </si>
  <si>
    <t>공공행정서비스혁신기술개발(R&amp;D)</t>
  </si>
  <si>
    <t>- (공공행정서비스혁신기술개발(R&amp;D)) 치안, 관세, 경호 등 공공행정 서비스의 첨단화, 고도화를 위해 공공행정 현장에서 요구하는 기술을 과학기술정보통신부와 현장부처가 협업하여 개발 및 현장에 적용하는 R&amp;D 사업 2024 2025 2026 예산 예산액 (추경) 예산 현액 집행액 이월액불용액 예산액 (추경) 예산 현액 집행액 이월액불용액 ○기능별 분류(합계) 7,047 7,047 7,047 [7,047] - - 11,324 11,324 11,324 [11,324]</t>
  </si>
  <si>
    <t>공존가능한 신뢰 AI를 위한 AI Safety 기술개발</t>
  </si>
  <si>
    <t>과학기술혁신인재양성(R&amp;D)</t>
  </si>
  <si>
    <t>○(목적) 미래 첨단기술 및 국가 전략 과학기술 분야 인력수요에 대응한 고급 R&amp;D인재 육성 지원 - (시스템반도체융합전문인력육성) 인공지능, 사물인터넷, 바이오메디컬 등 유망 新산업 분야의 차세대 시스템반도체제품 개발 및 시장 선점을 이끌 고급 융합전문인력 양성 - (양자정보과학 인적기반 조성) 폭발적 파급 잠재력을 지닌 양자정보과학 분야에 우수 인재가 유입되고 고급인력으로 커 나갈 수 있도록 성장경로 구축 및 연구저변 확대 - (육해공 무인이동체 혁신인재양성) 임무 기반 융·복합 무인이동체 시스템 설계·제작· 실증 교육을 개발 및 운영하여 혁신적 고등전문인력 및 실무형 산업현장 인력양성 - (감염병 연구전문인력양성) 국내 연구 및 산업 현장에서 신‧변종 감염병 분야 연구를 수행할 전문연구 인력 및 생물안전시설 활용 연구서비스 인력 양성 - (데이터사이언스 융합인재양성) 과학기술 및 인문사회의 다양한 분야에 데이터를 접목 ‧활용하여 사회문제 해결 및 新산업 창출·분석이 가능한 데이터사이언스 융합인재 양성 - (가속기인력양성 및 활용지원) 대학중심의 실습교육과 현장실무의 체계적 지원을 통한 가속기 전문인력 양성체계 구축 ※ 신규대형가속기구축등국내대형가속기구축·운영증가, 가속기산업활성화등에필요한 전문인력의수요는증가하나, 전문인력공급체계는부재 - (차세대원자력 전문인력 양성) 국내 대학(원)에 차세대원자력 전문인력 양성센터 설립을 통한 원자력 융합전공과목 개설 확대 및 산‧학‧연 협력 프로젝트 추진 - (반도체 첨단패키징 전문인력 양성) 국내 석·박사 대상 반도체 첨단 패키징 교육과정을 개발·지원하는 “반도체 첨단패키징 전문인력 양성센터” 설치·운영 - (차세대이차전지 전문인력 양성) 차세대이차전지 분야 주도권 확보와 민간수요 증가 대응을 위한 석‧박사급 전문인력 양성지원 - (합성생물학 전문인력양성) 첨단바이오 제조역량 강화 기반 마련을 위해 선도기술 확보를 위한 핵심인재 및 활용역량을 갖춘 융합인재 등 합성생물학 전문인력 양성 지원</t>
  </si>
  <si>
    <t>과학기술혁신정책 지원(R&amp;D)</t>
  </si>
  <si>
    <t>- 과학기술기본법에 따른 범부처 국가과학기술정책 및 국가연구개발사업의 기획‧조정‧ 평가 등 업무활동을 효율적으로 지원 - (국가과학기술시스템 혁신 지원) 국가 과학기술시스템 혁신을 위해 범부처 국가 과학 기술정책 수립, R&amp;D 투자전략 수립, 성과관리‧활용 등의 활동을 효율적으로 지원 - (과학기술 인공지능 정책 총괄‧조정) 과학기술‧인공지능 정책 방향성 제시, 연계‧ 조율 및 다양한 범부처‧민간‧지자체 협업 체계 운용</t>
  </si>
  <si>
    <t>광주 AI 실증도시 실현(기본계획수립 용역비)</t>
  </si>
  <si>
    <t>광주과학기술원 연구 운영비 지원(R&amp;D)</t>
  </si>
  <si>
    <t>□첨단 과학기술의 혁신을 선도할 고급 과학기술인재 양성</t>
  </si>
  <si>
    <t>국가 AI데이터센터 고도화</t>
  </si>
  <si>
    <t>국가 NPU전용 컴퓨팅센터 광주 설립(설계비)</t>
  </si>
  <si>
    <t>국가 데이터 인프라 기반 데이터 혁신(Data-X) 지원</t>
  </si>
  <si>
    <t>- (국가 데이터 인프라 기반 데이터 혁신(Data-X) 지원) 분야별 데이터스페이스*를 육성 하고, 신뢰 기반의 데이터 연계와 유통·활용을 촉진 * 데이터스페이스 : 분야별로 공통 목적을 가진 여러 주체(참여자)가 모여 ① 상호 신뢰와 합의를 기반으로 ② 안전한 환경과 표준 기반 방식을 통해 ③ 참여자 간 데이터를 공유·연계·활용하는 연합형 데이터 생태계 · (실증 및 기획) 우선 분야를 선정하여 참조모델을 적용한 데이터 스페이스 시범 조성 및 실증 사업 추진 ※ (’26년) ➊ 의료 분야 데이터 스페이스 구축·운영 ➋ 일반 분야 데이터 스페이스 사전기획(2~3개 분야)</t>
  </si>
  <si>
    <t>국가 플래그십 초고성능컴퓨팅 인프라 고도화 사업(R&amp;D)</t>
  </si>
  <si>
    <t>- 거대계산과학, 데이터 분석, 인공지능 활용 연구를 위한 세계 10위권 수준 초고성능 컴퓨팅 인프라 확보 및 운영을 통해 공공문제 해결 및 국가 기술혁신 경쟁력 제고 기여</t>
  </si>
  <si>
    <t>국가과학기술연구회 연구 운영비 지원(R&amp;D)</t>
  </si>
  <si>
    <t>- (기관운영비) 과학기술분야 정부출연연구기관 등의 설립·운영 및 육성에 관한 법률 (이하 ‘과기출연기관법’)에 의거, 연구회 설립목적과 고유임무 수행을 위한 인건비 및 경상경비 지원 - (주요사업비) (출연(연) 지원·육성사업) 연구회 및 소관연구기관의 발전방향 기획 및 ‘책임과 자율’의 연구몰입환경 구축을 위한 평가제도 운영과 출연(연) 연구행정선진화 지원 및 자체 감사지원 등 경영효율화 사업, 해외우수연구기관과의 교류 기반의 연구협력 플랫폼 구축을 통해 출연(연)이 R&amp;R에 부합하는 연구역량 확보 지원 (출연(연) 연구성과확산·관리지원사업) 출연(연) 연구성과 사업화 및 기술창업 지원을 통한 우수연구성과 창출 유도와 출연(연)의 중소ㆍ중견기업 지원 활성화 지원 (융합연구사업) 출연(연)간 융합 및 협력 강화를 위한 융합연구사업 추진 및 출연(연) R&amp;R협업 지원과 목적지향적 융합연구 강화를 통한 국가ㆍ사회적 현안해결, 창의ㆍ 도전적인 원천기술 확보 추진 (출연(연) 인재생태계조성사업) 우수인재가 출연(연)에 유입되어 지속 성장하고 안정적 으로 정착하여 성과를 창출할 수 있는 선순환적 전주기 통합 인재생태계 조성 지원 (국가 과학AI 연구지원센터(NAIS) 설립사업) 출연(연) 과학AI 허브 조성, 연구자 AI활용 서비스 지원 등 AI를 통한 출연(연) R&amp;D 패러다임 전환 지원</t>
  </si>
  <si>
    <t>국가수리과학연구소 연구 운영비 지원(R&amp;D)</t>
  </si>
  <si>
    <t>국가지식정보 연계 및 활용 촉진(정보화)</t>
  </si>
  <si>
    <t>ㅇ (국가지식정보 연계 및 활용 촉진(정보화)) 국가기관등이 보유한신뢰할 수 있는 국가지식정보*를 국민이 자유롭고 편리하게 접근 및 이용할 수 있도록 통합플랫폼 (디지털집현전, k-knowledge.kr 또는 디지털집현전.kr)을 구축·운영하고, 국가지식정보의 개방·연계·활용에 필요한 품질개선, 정책 수립, 제도개선 등 전 주기에 걸친 체계적 기반 마련·이행을 통해 국가 AI 기술 경쟁력 강화 등에 이바지 * 국가지식정보법 제2조(정의) : 국가지식정보란 국가기관, 지방자치단체 및 공공기관이 생산·보유·관리 하고 있는 정보 중 국가적 이용가치가 인정되는 정보로서 국가지식정보위원회의 지정을 받은 정보 - (국가지식정보 통합플랫폼 운영) 개별 기관 포털 등을 통해 분산 개방되고 있는 국가지식정보를 API 등 안정적 방식을 통해 연계·통합하여 한 곳에서 쉽고 편리 하게 검색·활용할 수 있는 국가지식정보 통합플랫폼(디지털집현전) 구축·운영 ※ (현황) 중앙행정기관, 공공기관 등 112개 기관, 139개 사이트, 약 2.6억 건의 국가지식정보 연계 중(‘25.12월) - (국가지식정보 메타데이터 품질개선 및 기술지원) 고품질 멀티모달 데이터 확보 및 민간 활용 촉진을 위해 국가지식정보를 보유한 국가기관등 대상으로 체계적인 메타데이터 품질 진단 및 관리 수행 및 AI 친화적 구조로 전환 등 기술지원 - (국가지식정보 협의체 운영 및 제도개선) 국가지식정보위원회 및 실무협의회, 민관 협의체 등 범정부 거버넌스 구성·운영, 기본계획, 관리지침 등 정책수립, 국가지식 정보 현황조사, 실태점검 법정 업무 추진 등 국가지식정보의 연계 및 활용 촉진을 위한제도적 기반 이행</t>
  </si>
  <si>
    <t>국방인공지능핵심기술개발(R&amp;D)</t>
  </si>
  <si>
    <t>국산 AI 반도체 기반 마이크로 데이터센터 확산(R&amp;D)</t>
  </si>
  <si>
    <t>ㅇ (국산 AI반도체 기반 마이크로 데이터센터 확산) AI 반도체를 적용한 마이크로데이터 센터 시스템을 개발하여 급성장하고 있는 AI 마이크로데이터센터 시장 선점 - (국산 AI 반도체 적용 마이크로 데이터센터 개발 및 확산) 팹리스 기업이 개발한 AI 반도체를 활용하여 마이크로데이터센터 구축 개발 및 관련 SDK 개발 - (마이크로 데이터센터 연동 하이브리드 클라우드 개발) 마이크로 데이터센터 간 연계 ㆍ연동을 통해 확장 및 성능향상을 지원하는 SW 개발 - (국산 마이크로 데이터센터 활용 AI 서비스 확산) 국산 AI 반도체 기반 마이크로 데이터센터를 활용한 제조현장, 의료기관, 공공서비스 적용 AI 솔루션 개발 - (AI 반도체 SW 지원센터 운영) 국산 AI반도체 기반 마이크로데이터센터 및 특화 AI 서비스 개발을 위한 데이터 지원, SDK 활용 지원, 개발환경 지원</t>
  </si>
  <si>
    <t>국산NPU기반 AI CCTV 전환</t>
  </si>
  <si>
    <t>글로벌제조융합SW개발및실증(R&amp;D)</t>
  </si>
  <si>
    <t>나노·소재기술개발(R&amp;D)</t>
  </si>
  <si>
    <t>ㅇ 미래 신산업 창출 및 주력산업 고도화를 견인할 나노 및 소재 원천기술을 확보* 하고 관련 연구기반(데이터, Fab 등) 구축 * 산학연 전문가와 도출한 ‘100대 첨단소재’, ‘100대 미래소재’ 원천기술 확보 등 - (글로벌공급망첨단소재기술개발) 글로벌공급망 재편(對日→對세계)에 대응하여 소부장 핵심품목 중심 지원 →글로벌공급망 대응 ‘100대 첨단소재’ 중심 지원으로 개편 ※ 내역명 변경을 통한 내역사업 성격 명확화(旣 기술개발) - (국가전략기술미래소재기술개발) 12대 전략기술 분야별로 우선 확보해야 하는 미래 소재를 발굴하고, 10년 뒤 초격차 목표달성과 기술난제 극복을 위한 R&amp;D지원 ※ 내역명 변경을 통한 내역사업 성격 명확화(‘25 국가전략기술소재개발 → ’26 국가전략기술 미래소재기술개발) - (소재글로벌영커넥트) 신진연구자*의 국가전략기술분야 미래소재 연구를 지원하여, 기술난제를 해결하고 리더십과 글로벌 네트워크 형성을 지원 * 만 40세이하 또는 박사학위 취득 후 7년 이내 연구자를 대상으로 지원 - (나노미래소재원천기술개발) 미래 나노소재 트렌드에 부합하는 창의·도전적 연구로, 기술과 산업 준비도를 고려하여 3가지 유형(선도형, 경쟁형, 도전형)으로 지원 - (기반구축) 소재 연구데이터 수집 등을 위한소재 연구기반 조성, 반도체등 관련 대학·공공 팹 인프라 시설·장비 및 팹 서비스 고도화등</t>
  </si>
  <si>
    <t>대구경북과학기술원 시설 지원(R&amp;D)</t>
  </si>
  <si>
    <t>- (대구경북과학기술원 시설지원(R&amp;D)) 첨단과학기술의 혁신을 선도할 고급과학기술 인재를 양성하고, 지역산업의 기술적 발전 및 경쟁력 향상을 위하여 지식기반사업 및 첨단과학 분야를 연구함으로써 지역균형발전과 국가과학기술발전에 이바지 - (시설비) : 교육·연구시설의 안정적 운영을 위한 유지보수 및 건축비 2024 2025 2026 예산 예산액 (추경) 예산 현액 집행액 이월액 불용액 예산액 (추경) 예산 현액 집행액 이월액불용액 ○기능별 분류(합계) 16,101 16,101 16,101 - - 14,150 14,150 14,150</t>
  </si>
  <si>
    <t>대구경북과학기술원 연구 운영비지원(R&amp;D)</t>
  </si>
  <si>
    <t>- (대구경북과학기술원 연구운영비 지원(R&amp;D)) 첨단과학기술의 혁신을 선도할 고급 과학기술인재를 양성하고, 지역산업의 기술적 발전 및 경쟁력 향상을 위하여 지식기 반사업 및 첨단과학 분야를 연구함으로써 지역균형발전과 국가과학기술발전에 이바지 - (기관운영비) : 설립목적에 따라 수립된 기관 R&amp;R(역할과 책임) 관련 주요 사업 목표 달성을 위한 인건비, 경상경비 등 기관운영경비 - (사업비) : 고급과학기술인재 양성 및 기초·응용과학 연구수행 등 기관 고유목적 달성을 위한 교육·연구 사업비</t>
  </si>
  <si>
    <t>대학디지털교육역량강화</t>
  </si>
  <si>
    <t>- (대학디지털교육역량강화) 창의적이고 혁신적인 디지털인재 및 현장수요 맞춤형 실무 인재 양성을 위해 국내 ICT·SW분야 대학의 디지털교육역량 강화 사업 - (초고속정보통신기반인력양성) ICT인프라 구축, 유지보수 분야별 산업학사학위과정을 운영하여 양질의 네트워크 인력을 정보통신산업체에 공급하여, 청년실업 및 중소기업 인력난 해소에 기여 - (ICT산학연계 멘토링 및 인턴십) 국내 ICT·SW분야 대학생들의 실무(직무)역량 강화를 위한 산업계 전문가 멘토링 프로젝트 및 국내·외 기업 인턴십(학점인정) 수행</t>
  </si>
  <si>
    <t>데이터 활용 의료·건강 생태계조성</t>
  </si>
  <si>
    <t>◦지역 의료 데이터 플랫폼을 활용한 인공지능(AI) 기반 의료 서비스 개발·실증 및사업화 등을 지원하여 디지털의료 혁신 생태계 조성* * 데이터 및 인프라 제공 → 기술 개발 → 임상시험 → 인허가 → 글로벌 진출 지원 - (인공지능 기반 의료 솔루션 사업화) AI 의료분야의 산업적 가치가 높은 임상의사결정지원시스템(CDSS) 개발·실증 지원 - (인공지능 기반 의료기기 사업화) 디지털 의료기기 글로벌 경쟁력 강화를 위해 진단이 가능한 AI 솔루션이 탑재된 의료기기 개발･실증지원 2024 2025 2026예 산안 예산액 (추경) 예산 현액 집행액 [실집행 액] 이월액불용액 예산액 (추경) 예산 현액 집행액 이월액불용액 ○기능별 분류(합계) 6,000 6,000 6,000 [5,952]</t>
  </si>
  <si>
    <t>데이터 활용확산 정책지원</t>
  </si>
  <si>
    <t>- (데이터 활용확산 정책지원) 「데이터 산업진흥 및 이용촉진에 관한 기본법」(‘22.4.20 시행)에 규정된 데이터 유통·거래 제도 운영으로 데이터 경제 활성화 기반 조성 - (데이터 활용·유통 활성화 기반 마련) 데이터 가치평가, 품질인증, 표준계약서 등 데이터 유통·활용 제도 운영 및 확산 지원 - (데이터 산업제도 기반 활성화) 데이터 경제 활성화를 위한 데이터 거래 전문인력 양성 및 데이터사업자 신고·등록 제도 운영</t>
  </si>
  <si>
    <t>데이터경제인프라구축</t>
  </si>
  <si>
    <t>ㅇ 「데이터산업법」에 따라 ‘데이터 경제 활성화’를 목표로 국가 데이터 인프라 구축‧확산, AI허브 운영 및 통합제공체계 전환, 위원회 운영 지원, 데이터 산업동향 분석 등 사업 추진을 통해 중소기업·연구자·공공 등 데이터 활용 지원을 위한 데이터 생태계 기반 조성 - (국가데이터인프라 구축·확산) 민간‧공공 데이터의 편리한 검색‧활용 및 데이터 공급‧수요‧ 중개자에 대한 통합적인 서비스 제공을 위한 국가 데이터 인프라 운영 및 고도화 추진 ※ 산재된 공공‧민간 데이터 플랫폼을 국가 데이터산업 인프라로 연계‧활용(‘One-윈도우’) - (AI 허브 운영) 공공, 민간의 기구축·구축 예정인 학습용 데이터 수집체계 마련 및 연계·등록을 통해 학습용 데이터를 통합제공하고 국가적 차원에서 AI 활용을 지원 ※ 고차원적 사고·추론·판단이 가능한 모델 고도화를 위해 생성-강화학습-필터링-재학습 등의 반복 구조의 추론 데이터 구축을 통해 AI 데이터 확충 및 개방 확대에 기여 및 글로벌 선도 - (위원회 운영지원) 국가 데이터 정책 전반을 총괄·조율하기 위한 국가데이터정책위원회 및 데이터 생산·거래·활용에 관한 분쟁 해소를 위한 데이터분쟁조정위원회 운영지원 - (데이터 산업동향 분석) 국내 데이터산업 경쟁력 강화를 위해 컨퍼런스 운영 등 활용 기반 확산 및 산업 활성화 정책에 필요한 시장동향 기초자료 생산·제공</t>
  </si>
  <si>
    <t>데이터기반산업경쟁력강화</t>
  </si>
  <si>
    <t>데이터센터네트워크인프라기술선도사업(R&amp;D)</t>
  </si>
  <si>
    <t>ㅇ 생성형 AI 등 초거대 컴퓨팅의 효율적 운영을 뒷받침하는 AI 데이터센터 네트워크인 프라 기술의 국산화 추진 - (데이터센터 네트워크 인프라 기술 선도사업) 데이터센터 서버랙 내/간 AI 컴퓨팅 자원을 효율적으로 상호연결·운용하기 위한 AI 네트워킹 인프라 원천·응용 기술 개발 및 PoC 검증</t>
  </si>
  <si>
    <t>동남권원자력의학원연구운영비 지원(R&amp;D)</t>
  </si>
  <si>
    <t>- (동남권원자력의학원 연구운영비 지원(R&amp;D))방사선 등의의학적 이용 및 연구개발과 암진료 등의 업무수행을 통한 국가과학기술발전 및 국민건강 증진에 기여 ㆍ기초연구와 중개연구 활성화를 통한 방사선의학 중심 병원모델 창출</t>
  </si>
  <si>
    <t>동대구 벤처벨리 AI테크포트 구축</t>
  </si>
  <si>
    <t>◯(사업목적) AI 교육‧체험 및 개발ㆍ활용을 통합하여 지원하는 핵심 거점을 조성하여 AI 기술의 보편적 활용 환경 조성 - (보편적 활용 지원) 모든 시민들이 스마트도시 AI 서비스 및 기술을 손쉽게 활용 할 수 있도록 교육 및 체험 기회를 통해 개발 역량 강화 - (서비스 개발‧확산) 일정 수준의 역량을 갖춘 시민들이 스마트도시 특화 서비스를 개발하고, 이를 기반으로 창업 또는 사업 현장 적용(비즈니스化) 추진</t>
  </si>
  <si>
    <t>디지털 AI세포 구축(R&amp;D)</t>
  </si>
  <si>
    <t>디지털 질서 기반 구축 및 글로벌 확산 지원</t>
  </si>
  <si>
    <t>- (AI․디지털 사회 기반 구축) 민간이 중심이 되어 전문가뿐 아니라 일반 국민까지 참여하는 사회적 공론화·담론 형성을 통해 AI 기본사회 국정과제 실현 기반을 조성하고, 전 국민이 참여하는 AI대전환(AX) 문화 확산 및 AI 글로벌 정책역량 강화 추진 - (AI․디지털 규범 글로벌 확산) OECD 등 국제기구 및 해외 연구기관과 공동 연구 수행 등을 통해 AI 규범 논의에서 한국 주도의 방향성 제시 ※ 글로벌 디지털 규범 논의를 위해 ‘디지털 사회 이니셔티브’를 운영하고, 글로벌 연구기관과 공동 연구 수행 및 워크샵･포럼 등 개최 - (안전한 AI 활용 기반 조성) AI 안전성 평가 체계 구축및 AI 안전 확보를 위한 글로벌 협력 강화를 추진하고, 국가 전반에 책임감 있고 윤리적인 AI 개발･활용 확산을 지원 - (AI신뢰성 및 산업 생태계 마련) 지속가능한 AI 산업 발전과 AI 기술의 사회적 수용도 제고를 위해 AI 신뢰성 확보를 지원하고, AI 정책 수립을 위한 국내외 AI 산업 분석 2024 2025(2025.12월말) 2026 예산 안 예산액 (추경) 예산 현액 집행액 [실집 행액] 이월액불용액본예산 예산 현액 집행액 [실집 행액] 전년도 이월액</t>
  </si>
  <si>
    <t>디지털 혁신 기술 기반 K-CareNetwork</t>
  </si>
  <si>
    <t>ㅇ (디지털 혁신 기술 기반 K-CareNetwork) 개인 라이프로그 데이터, 의료 데이터 등을 활용하여 AI기술기반 개인별 맞춤형 디지털치료기기 개발·실증 지원</t>
  </si>
  <si>
    <t>디지털미디어이노베이션기술개발(R&amp;D)</t>
  </si>
  <si>
    <t>- (디지털미디어이노베이션기술개발) 방송미디어의 이용행태 변화(OTT, 개인맞춤 등)와 AI⸱디지털 접목 수요에 대응하기 위해 방송미디어 산업 혁신 및 기술경쟁력 확보</t>
  </si>
  <si>
    <t>디지털배움터(세종)</t>
  </si>
  <si>
    <t>디지털배움터(자율)</t>
  </si>
  <si>
    <t>디지털배움터(제주)</t>
  </si>
  <si>
    <t>디지털분야글로벌인재양성(R&amp;D)</t>
  </si>
  <si>
    <t>- (디지털분야글로벌인재양성) 글로벌 네트워크 구축과 디지털 기술분야 공동연구(대학 자율형, 기업(연구소)연계형)를 통한 고급인력(석ㆍ박사) 양성 및 최고급 해외석학 유치를 통한 디지털분야 전문가 양성 · (디지털분야글로벌연구지원) 국내대학원생의 국내 대학-해외 Top Tier 대학, 국내 대학- 글로벌 기술 기업과의 공동연구 수행 및 해외 파견을 통한 디지털 전문 인재 양성 지원 유형 주요 내용 대학자율형 대학의 자율성을 보장, 연구를 주도 (해외 Top-Tier 대학, 국책 연구소 등과 협력) 기업(연구소)연계형 글로벌 기업의 수요를 반영, 대학과 공동연구를 수행 · (디지털분야해외석학유치지원) 세계 석학급 해외 인재의 석·박사 과정 연구생 지도 및 R&amp;D 수행 등을 통한 연구역량 강화로 기술격차 축소 및 고급인재 양성</t>
  </si>
  <si>
    <t>디지털선도기술 핵심인재양성(R&amp;D)</t>
  </si>
  <si>
    <t>디지털역량강화교육</t>
  </si>
  <si>
    <t>ㅇ (디지털역량강화교육)국민 모두가 차별이나 배제 없이 디지털 기술 및 서비스의 혜택을 고르게 누리기 위한 디지털 기본역량 함양을 위한 디지털역량교육 등 추진 - (디지털역량함양지원) AI·디지털 전환에 대응하여 키오스크·금융·교통부터 AI 서비스 활용까지 경제·사회활동에 필요한 AI·디지털 역량 교육 제공 - (우리의 AI 러닝) 공공의 자원과 민간의 전문성 및 민첩성을 최대한 활용·총집결하여, 전 국민이 언제 어디서나 양질의 AI 교육을 받을 수 있도록 교육 기반 구축·확산</t>
  </si>
  <si>
    <t>디지털전문·융합인재양성</t>
  </si>
  <si>
    <t>- (디지털전문·융합인재양성) AX 가속화로 全산업에 AI·SW전문인재 수요가 확대됨에 따라 전공자뿐만 아니라 비전공자, 미취업자, 재직자 등 대상으로 창의·혁신적 교육 과정 운영을 통해 AI·SW인재를 지속적으로 유입·발굴하고, AI활용역량 강화를 통해 미래산업을 선도할 AI·SW전문인재로 성장 지원 - (대학·기업 협력형 SW아카데미) 현장수요에 맞는 교육과정을 기업·대학이 공동 설계 하고, 기업 주도 집중교육을 통해 산업체에서 즉시 활용 가능한 인력 적기 공급 - (채용연계형 SW전문인재양성) 기업 수요가 높은 실무형 인재양성을 위해 기업과 연계한 교육과정 운영으로 현장에 즉시 투입 가능한 청년인재 양성 및 채용연계 지원 - (이노베이션아카데미) 지속적인 혁신성장을 위해 국내·외 잠재력 있는 인재를 대상으로 혁신적인 교육 시스템을 지원하여 창의·혁신적 AI·SW 인재 양성 - (AI·SW마에스트로) 핵심인재 확보가 중요한 AI·SW산업 및 기업의 경쟁력 강화를 위해 최고급 AI·SW혁신인재 육성 추진 - (산업재직자 AI역량강화) 금융, 물류유통, 의료 등 기존산업과 AI융합을 통해 디지털 혁신을 선도할 수 있도록 재직자 AI역량 강화, 기업의 디지털 전환 촉진을 위한 맞춤형 교육․컨설팅 지원 및 디지털 전환 전문가 양성 등 - (SW역량검정) AI·SW 전공대학생등의실무역량평가시행·활용을통해대학 교육의산업요구중심질적개선유도와능력중심채용문화조성 - (디지털콘텐츠인력양성) 청년(만 39세 이하) 및 석·박사과정생, 재직자 등을 대상으로 한 맞춤형 교육을 통해 가상융합기술 전문인력을 양성하여 가상융합 산업 기반 마련</t>
  </si>
  <si>
    <t>디지털트윈 융합 의료혁신 선도사업</t>
  </si>
  <si>
    <t>디지털헬스케어 기반 AI 융합혁신 센터 구축</t>
  </si>
  <si>
    <t>디지털혁신기술국제공동연구(R&amp;D)</t>
  </si>
  <si>
    <t>ㅇ (디지털혁신기술국제공동연구) 글로벌 기술패권 경쟁 대응 및 초격차 기술확보를 위해 AI·반도체·사이버보안 등 디지털 핵심기술분야 국제공동연구 추진 - (디지털핵심기술국제공동연구) 국가전략기술(디지털분야*)의 핵심기술 축적을 위한 국제공동연구 * AI, AI반도체, 5G·6G, 양자, 사이버보안 + 디지털콘텐츠 - (디지털융합기술국제공동연구) 디지털혁신과의 융합을 통한 ICT응용·활용 기술개발 및 글로벌 현안대응을 위한 국제공동연구 * ICT 기술 + 첨단로봇·제조, 첨단 모빌리티, 교육, 에너지 등 융합기술</t>
  </si>
  <si>
    <t>미래디지털인재양성및저변확대</t>
  </si>
  <si>
    <t>○(미래 디지털인재양성 및 저변확대) 디지털 심화 시대 SW･AI 등 디지털 역량의 중요성이 강조되고 있는 가운데 어린 시절부터 디지털 역량을 배양할 수 있는 지 원체계 마련 및 인재 양성에 기여 - (미래세대 SW･AI교육 활성화) 청소년의 디지털 문제 해결력 함양을 위해 ▲디 지털인재양성 선도기업 등과 협력하여 교육 프로그램을 제공하고, ▲청소년들에게 데모데이·해커톤 및 국제대회 출전 등 다양한 도전 기회를 통해 실전형 디지털 문제해결자로성장할 수 있도록 지원하며, ▲전국민 누구나 AI를 이해하고, 체험 하며, 도전·활용할 수 있는 AI 활용의 실천적 기회 제공 및 확산 캠페인 운영 - (예비교원 SW역량 강화) 예비교원(교육대학 및 사범대학 재학생, 교직이수자 등)의 SW·AI 교육에 대한 이해도와 교수·학습 설계 및 실행 역량을 체계적으로 함양하기 위한 심화 연수를 운영하여, 미래 교원의 SW·AI 교육 전문성 강화를 도모 - (EBS-SW플랫폼 구축 운영) 공교육 보완 및 SW교육 격차 해소를 위해 언제 어디서나 학습이 가능한 EBS-SW 온라인 교육 플랫폼(이솦) 운영 및 콘텐츠 제작 지원 - (특성화고 SW·AI교육 강화) 디지털 신산업 분야를 선도할 실무인재를 조기에 양성 하기위해 SW·AI 산업 맞춤형 특화 교육과정 운영, 교사역량 강화 등 특성화고 역량 강화 지원 - (한국코드페어 및 대학생 프로그래밍 경시대회) AI 중심의 미래사회를 주도할 청소년·대학생 대상으로 창의적 문제해결 및 알고리즘 설계 능력 발휘 기회를 제공하고 이를 통한 AI‧SW 인재양성·발굴</t>
  </si>
  <si>
    <t>민관협력기반AI휴머노이드원천기술고도화(R&amp;D)</t>
  </si>
  <si>
    <t>바이오.의료기술개발(R&amp;D)</t>
  </si>
  <si>
    <t>ㅇ (바이오ㆍ의료기술개발) 신약, 줄기세포, 첨단의료기반기술 등 미래유망 바이오 분야에 대한연구개발을 통하여 고부가가치 창출이 가능한 핵심원천기술 확보 및 선진화 기반 확충 ①(차세대바이오) 생명현상 발현 관련 질환 제어 및 시스템생물학적 생체정보 해석 등 국민 삶의 질 향상을 위한 미래유망 차세대 바이오 유망기술 개발 ②(인공지능바이오) AIxBio 확산을 위한 인공지능 바이오 분야 기술개발 및 기반마련 ③(뇌과학 선도융합기술개발) 뇌질환 극복 및 뇌기능 활용 분야에서 응용의 교두보를 확보함으로써 국가․사회에 직접적 혜택을 주는 ‘국민 체감 뇌과학 기술’로 도약. 실천 방안으로 기술사업화를 견인하는 선도융합기술 개발 ④(전자약기술개발) 전자약 시장생태계 조성으로 희귀․난치질환 극복, 만성질환 등의 치료 편의를 증진하기 위한 국산화 연구개발 및 제품화 지원 ⑤(미래의료혁신대응기술개발) 의료현장을 중심으로 한 혁신형 공동연구 지원을 통해 개방형 혁신을 촉진하고 시장으로 연계되는 혁신기술 개발 ⑥(신약개발) 신약 타겟 검증·신약 후보물질 개발에서부터 기반기술개발에 이르기까지 글로벌 신약개발을 위한 핵심 원천기술 확보 ⑦(첨단바이오의약품비임상유효성평가기술및제품개발) 차세대 이종융합기술 기반의 세계 최초 임상연계 가능 첨단시험 플랫폼 구축을 통해, 국내개발 첨단바이오의약품의 글로벌 시장진입을 촉진할 혁신의료제품 개발 및 바이오 신사업 창출 ⑧(미래감염병기술개발) 국가경제 및 국민건강에 위협이 되는 신·변종 및 해외유입 감염병 대응 역량 강화를 위한 핵심기술개발 지원 ⑨(감염병 국가전임상시험지원체계구축(舊국가전임상시험지원체계구축)) 백신상용화에 필수적인 전임상시험의 체계적인 지원을 위한 총괄 지원센터 및 연구단계별 지원 2024 2025 2026 예산 예산액 (추경) 예산 현액</t>
  </si>
  <si>
    <t>반도체원천기술개발사업(R&amp;D)</t>
  </si>
  <si>
    <t>- 초격차 기술경쟁력 확보와 미래시장 선점을 위한 소자, 설계, 첨단패키징, 화합물 반도체 등을 포함한 반도체 전 분야 원천기술 개발 - (차세대화합물반도체핵심기술개발) 차세대 화합물 반도체 에피 소재 및 소자 원천 기술을 개발지원하여 연구 생태계를 조성하고 관련 산업 활성화 유도 - (국가반도체연구실지원핵심기술개발) 글로벌 반도체 기술패권 격화에 대응하여 연구 개발 및 인력양성의 기초 단위인 대학 반도체 연구실(Lab)의 역량 강화 - (반도체설계검증인프라활성화) 국내 공공팹의 CMOS 공정을 활용하여 학생들의 반도체 설계를 공정‧검증 할 수 있는 서비스 제공 및 인프라 고도화 추진 - (반도체첨단패키징핵심기술개발) 3D 적층 패키징 소재기술, 고효율‧미세피치 패키징 제조기술, 고방열 패키징 구조 설계 및 신뢰성 향상기술에 대한 핵심 원천기술 확보 - (차세대반도체대응미세기판기술개발) 반도체 패키징용 기판의 국내 기업 시장 점유율 확대 및 기술 장악력 확보를 위한 차세대 첨단기판 핵심기술 확보 - (차세대반도체장비원천기술개발) 반도체 첨단 패키징 분야 스택 및 검사장비와 대면적‧ 고심도Metrology Inspection-SEM 장비 원천기술 개발 - (반도체글로벌첨단팹연계활용사업) 미국(NY Creates), 벨기에(IMEC) 등 글로벌 첨단 반도체팹과 국내 공공팹과의 연계협력을 통한 공동연구, 소부장 테스트베드 실증 지원, 국내대학(원)생 인턴쉽 및 기술인력 교류 지원 - (차세대광패키징기술개발) 광 통신 분야 공백 영역인 첨단 광패키징 원천기술 확보를 위한 초저전력 광학 온보드 패키징 및 Opto-chiplet 패키징 기술개발 - (초고집적반도체용vdW소재및공정기술개발) 극한 박막 vdW 소재를 활용한 초고집적 3D DRAM 반도체 기술개발을 통하여 미래 3D 반도체 신격차 기술 확보</t>
  </si>
  <si>
    <t>범정부 인공지능 공통기반 구현(정보화)</t>
  </si>
  <si>
    <t>- (범정부 인공지능 공통기반 구현) 정부 내에서 민간 LLM을 활용할 수 있도록, AI 서비스 기획·개발·운영·고도화 등 전 단계에 걸쳐 이용가능한 정부 전용 인프라 구현 - (범정부 초거대 AI 공통기반 구현) ‘민간의 초거대 AI 모델’을 기반으로 각 정부부처가 공통 사용할 수 있는 정부 데이터 학습 등을 통한 범정부 초거대 AI 모델 도입 - (NPU 인프라 구현) 국산 AI 반도체(NPU)를 활용하여 NPU 인프라를 구현하고, 범정부 AI 공통기반 등에서 활용·검증</t>
  </si>
  <si>
    <t>복합지능 자율행동체 SW 핵심기술개발(R&amp;D)</t>
  </si>
  <si>
    <t>불법마약류 대응을 위한 현장기술 개발(R&amp;D)</t>
  </si>
  <si>
    <t>- (①내역: 다크웹 및 가상자산 거래추적 연계 마약수사통합시스템 개발) 마약거래가 이루어지는 다크웹에 접속하는 IP를 특정하고, 주요 결제수단인 가상자산의 지갑 주소를 확보하여 자금의 이동 경로(자금세탁)를 추적하고, 마약 점조직을 식별하여 유통의 근원을 찾아내기 위한 기술개발 - (②내역: 기획평가관리비) 원활한 사업 추진을 위한 기획, 평가, 관리 등 소요 비용 2024 2025 2026예 산 예산액 (추경) 예산 현액 집행액 이월액불용액 예산액 (추경) 예산 현액 집행액 이월액불용액 ○기능별 분류(합계) - - - - - - - -</t>
  </si>
  <si>
    <t>빅데이터기반생활전자파예측기술개발(R&amp;D)</t>
  </si>
  <si>
    <t>- (빅데이터 기반 생활전자파 예측 기술개발) 5G 이후 기하급수적으로 증가할 것으로 예상되는 기지국의 전자파 평가방법 전환과 국민 불안감 해소를 위해 AI 기반의 전자파 예측기술 개발 ‧ (전자파 빅데이터 분석 관리 플랫폼 개발) 전자파 보유/실측데이터 조사·수집과 데이터 처리 알고리즘 및 데이터 전처리 기술 개발 ‧ (인공지능 기반 전자파 예측 알고리즘 개발 및 향상 연구) 인공지능 계산 방정식 /환경별(도심, 부도심, 고속도로 등) 전자파 예측 알고리즘 등의 개발 및 향상 연구 ‧ (예측 기술을 이용한 전자파 인체노출량 평가제도 연구) 미래통신 이용 기지국의 전자파 실험실 레벨의 측정 등 평가방식의 타당성 검증</t>
  </si>
  <si>
    <t>사람중심인공지능핵심원천기술개발(R&amp;D)</t>
  </si>
  <si>
    <t>- (사람중심인공지능핵심원천기술개발) 32개 AI과제 수행기관인 국책연구소, 대학, 기업 등에 정부출연금을 지원하여 현재의 AI기술 한계를 극복하여 인간이 효과적으로 활용가능한 AI구현을 위한 AI핵심원천기술개발 추진 - (AI학습능력개선기술개발) 소량의 학습데이터를 통한 보다 효율적인 학습, 적용분야 확장이 가능한 추론, 실세계의 동적인 경험을 지속적으로 학습하고 성장할 수 있도록 인공지능 학습/추론 능력을 개선 2024 2025 2026 예산 예산액 (추경) 예산 현액 집행액 이월액불용액 예산액 (추경) 예산 현액 집행액 이월액불용액 ○기능별 분류(합계) 45,075 45,075 45,075 - - 42,860 42,860</t>
  </si>
  <si>
    <t>생성AI선도인재양성(R&amp;D)</t>
  </si>
  <si>
    <t>생체노화리프로그래밍원천기술개발(R&amp;D)</t>
  </si>
  <si>
    <t>세계김치연구소연구운영비지원(R&amp;D)</t>
  </si>
  <si>
    <t>소프트웨어인재키움</t>
  </si>
  <si>
    <t>- 지역 산업의 지속가능한 AI 전환(AX, AI Transformation)을견인할 지역정주형 핵심실무 인력 양성 및 지역인재의 아이디어의 프로토타입 개발․사업화 지원 - (소프트웨어 인재키움) 지역산업 디지털 전환의 핵심 인력양성을 위해, 직업계고 재학ㆍ졸업생 등 예비실무인력 대상 AIㆍSW분야 전문ㆍ특화 교육을 추진하여 지역 기업 수요에 맞춘 디지털 인력을 양성ㆍ공급 - (지역연고 인재 바이브코딩  활용 사업화 촉진 지원사업) 지역 SW교육 프로그램을 통해 양성된 지역연고 AI 인재의 아이디어를 바이브코딩*을 활용하여 신속한 사업화 지원 * 바이브코딩이란문제를해결하고자하는내용을몇문장의프롬프트로설명하면, 대규모언어 모델(LLM)이 알아서 소프트웨어 코드를 생성하는 새로운 프로그래밍 기법(안드레이 카파시 (Andrej Karpathy), OpenAI의공동창립자, 前테슬라AI총괄책임자)</t>
  </si>
  <si>
    <t>스마트 엣지 디바이스 기술개발(R&amp;D)</t>
  </si>
  <si>
    <t>스마트물류 기술 실증화</t>
  </si>
  <si>
    <t>스마트빌리지보급및확산(세종)</t>
  </si>
  <si>
    <t>o (스마트빌리지 보급 및 확산) 지능정보기술, ICT기술을 활용하여 지역사회 경쟁력 강화에 기여하는 스마트 서비스보급‧확산, 신규 서비스 개발‧실증 지원 - (스마트빌리지 개발 및 보급) 지역사회 전 분야에 지능정보기술을 접목하여 지역 현안을 해결하고 생활편의를 개선하는 스마트빌리지 서비스 발굴 및 실증 - (스마트경로당 개발 및 보급) 지역사회 노인복지 핵심 거점인 경로당 내 스마트 인프라 구축을 통해 ICT 기반 노인복지 선도 서비스 실증</t>
  </si>
  <si>
    <t>스마트빌리지보급및확산(자율)</t>
  </si>
  <si>
    <t>스마트팜 다부처 패키지 혁신기술개발(R&amp;D)</t>
  </si>
  <si>
    <t>- (스마트팜다부처패키지혁신기술개발) 농업 인구 감소 및 고령화에 따른 국내 농업 경쟁력 약화에 대응하고 저투입·고효율 중심의 스마트팜 기술 개발 및 고도화를 통한 농업 경쟁력 제고 - (스마트팜 실증·고도화 연구) 농업 지속가능성 및 스마트팜 글로벌 경쟁력 확보를 위해 2세대 스마트팜 현장 적용성 검증·실증 저변 확대를 위해 대학, 정출연, 기업 등을 대상으로 지원 - (차세대 융합·원천기술 연구) 스마트팜의 원천기술 개발 및 확산 등을 통해 지속가능한 농업을 구현하고 최첨단 기술과의 융합을 위한 기술개발로 대학, 정출연, 기업 등을 대상으로 지원 - (사업단 운영비) (재)스마트팜연구개발사업단의 원활한 운영 및 연구과제 평가 관리 등을 위한 사업단 운영비 지원 2024 2025 2026 예산 예산액 (추경) 예산 현액 집행액 이월액불용액 예산액 (추경) 예산 현액 집행액 이월액불용액 ○기능별 분류(합계) 7,013 7,013 7,013 -</t>
  </si>
  <si>
    <t>신종 보이스피싱 조기탐지 기술개발(R&amp;D)</t>
  </si>
  <si>
    <t>- 신종 보이스피싱 사기 수법 대응을 위해 디지털범죄 정보(의심정보 포함)의 비식별화된 데이터베이스 플랫폼 등을 활용한 보이스피싱 조기탐지 기술개발을 통해 보이스피싱 피해 감소에 기여</t>
  </si>
  <si>
    <t>실세계능동형에이전틱AI기술개발(R&amp;D)</t>
  </si>
  <si>
    <t>연합학습기반 신약개발 가속화 프로젝트(K-MELLODDY)(R&amp;D)</t>
  </si>
  <si>
    <t>오픈랜실증단지조성</t>
  </si>
  <si>
    <t>- 국내 네트워크 장비 제조사 등의 개방형 무선 접속망(Open-RAN) 장비·솔루션에 대한 개발·상용화를 지원하여, 국제협력 수출 기반 마련 및 AI-RAN 등 차세대 무선네트워크 산업 분야의 기술 패권 경쟁을 선도하기 위한 ‘오픈랜 실증단지’ 조성 * 단일 제조사 제품으로만 구성하던 5G 무선망을 다수 제조사로 구성할 수 있도록 장비 간 통신 방식을 개방화·지능화하는 기술로 6G 무선망, AI-RAN 구축을 위한 브릿지 기술 역할</t>
  </si>
  <si>
    <t>온디바이스AI기반자율협업IoT및디바이스핵심기술개발(R&amp;D)</t>
  </si>
  <si>
    <t>ㅇ (온디바이스AI기반자율협업IoT및디바이스핵심기술개발) 다수의 이종 온디바이스AI 사물들이 클라우드 없이 상호 소통·협업하여 상황을 인지하고 실시간으로 대응하는 자율협업 IoT, 엣지AI 컴퓨팅 서버 및 개인정보보호기반 엣지형 지능형홈 핵심기술개발 - (온디바이스AI기반자율협업IoT핵심기술개발) 다수의 이종 온디바이스AI 사물들이 클라우드 없이 상호 소통·협업하여 상황을 인지하고 실시간 대응하는 자율협업 IoT SW 및 통합 관리기술, 온디바이스 연계 AI 추론 서비스와 함께 다양한 엣지 지능에 대해 최적화된 모델 학습과 배포를 동시에 지원 가능한 엣지AI 컴퓨팅 서버핵심기술 개발 - (개인정보보호기반지능형홈핵심기술개발) 개인정보 유출에 안전한 홈환경에서 스스로 학습·인지·판단하기 위한 지능형 홈 온디바이스AI 플랫폼 핵심기술</t>
  </si>
  <si>
    <t>우편물류기술연구개발(R&amp;D)</t>
  </si>
  <si>
    <t>ㅇ (우편물류기술연구개발) 물류산업의 핵심인 자동화설비의 정보통합 표준화 인터 페이스 기술개발을 통해 국가 사무인 우편사업 물류처리의 운영기반 개선과 함께, 동 기술의 민간 이전을 통한 민간 물류산업의 경쟁력 확보기반 마련 병행 추진 - (우편·물류 자동화설비 정보통합 표준화 인터페이스 개발) 동 내역사업은 집중국 등 물류사업장에서 운용하는 異種의 우편·물류 자동화설비 통합제어와 데이터 분석 활용을 위한 표준화 인터페이스 기술 개발을 위한 사업</t>
  </si>
  <si>
    <t>울산과학기술원 연구 운영비 지원(R&amp;D)</t>
  </si>
  <si>
    <t>- (울산과학기술원 연구운영비 지원(R&amp;D)) 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 (기관운영비) 설립목적에 따라 수립된 기관 R&amp;R(역할과 책임) 관련 주요 사업 목표 달성을 위한 인건비, 경상경비 등 기관운영경비 - (사업비) 고급과학기술인재 양성 및 기초·응용과학 연구수행 등 기관 고유목적 달성을 위한 교육·연구 사업비</t>
  </si>
  <si>
    <t>융합서비스 글로벌시장 진출지원</t>
  </si>
  <si>
    <t>- (DNA 대중소 파트너십 동반진출) 기업 간 연대·동반 해외진출을 위한 융합제 품·서비스의 현지화 실증 지원, 글로벌 홍보와 해외시장 개척을 위한 지원 플 랫폼 운영, 통상 정책 대응 지원을 통한 기업의 수출 여건 개선 추진 2024 2025(2025.12월말) 2026 예산안 예산액 (추경) 예산 현액 집행액이월액불용액 예산액 (추경) 예산 현액 집행액 이월 예상액 불용 예상액 ○기능별 분류(합계) 7,763 7,763 7,763 - - 22,663 22,663 22,663</t>
  </si>
  <si>
    <t>의료 AI 반도체 전문인력 양성센터 구축</t>
  </si>
  <si>
    <t>- (의료 AI반도체 전문인력 양성센터 구축사업) 강원지역 내 지능형 의료기기산업 생태계 조성 및 AI·반도체·데이터 등 국가전략기술 산업 맞춤형 핵심인력 양성 ∙ (의료 AI반도체 전후방 엔지니어 육성) 맞춤형 교육과정 개발 및 운영, 산학연 공동 협업 프로젝트 운영, 취・창업 지원 등을 통한 의료 AI반도체 전·후방 엔지니어 육성 ∙ (의료 AI반도체 교육 연구 플랫폼 구축) 의료 AI반도체 관련 교육·연구 지원 및 의료 AI반도체 분야 관련 기업의 플랫폼 활용․개발 지원 등을 위한 의료 AI반도체 교육·연구용 인프라 구축</t>
  </si>
  <si>
    <t>의료AI혁신생태계조성(닥터앤서3.0)</t>
  </si>
  <si>
    <t>인간-AI 협업형 LAM 개발·글로벌 실증(R&amp;D)</t>
  </si>
  <si>
    <t>o 피지컬AI 특화 고신뢰성 융합데이터 및 LAM(PINN 기반 물리지능행동모델) 핵심기술 확보로 우리나라 피지컬AI 기술주도권 확보 및 AX 역량 강화 - 국내외 피지컬AI 특화 산학연 협력을 기반으로 정밀 제어가 필요한 분야에 활용 할 수 있는 피지컬AI 특화 LAM 핵심기술 개발 및 글로벌 실증</t>
  </si>
  <si>
    <t>인간인지기반 AI 핵심원천기술개발(R&amp;D)</t>
  </si>
  <si>
    <t>인간지향적차세대도전형AI기술개발(R&amp;D)</t>
  </si>
  <si>
    <t>- (인간지향적차세대도전형AI기술개발) 인간처럼 새로운 환경에 스스로 적응·성장하는 ‘차세대 범용 AI 기술개발로 現AI의 지적 수준을 고도화하고 범용적 활용성 극대화 - (창의도전R&amp;D) AGI 기본조건만 제시하되, 1단계연구자가 제시한 기초단계의 AGI 기반기술 연구방법론 중 R&amp;D 경쟁방식을 통해 →2단계도전성이 높은 일부 과제 후속R&amp;D 지원(기초분야 중심) - (핵심전략R&amp;D) AGI 구현을 위한 차세대 AI 핵심분야만 제시하되, 1단계연구자가 제시한 기초단계의 AGI 기반기술 연구방법론 중 R&amp;D 경쟁방식을 통해 → 2단계도전성이 높은 일부 과제 후속 R&amp;D 지원(응용분야 중심)</t>
  </si>
  <si>
    <t>인공지능 신뢰성 혁신 실증사업</t>
  </si>
  <si>
    <t>◯(인공지능 신뢰성 혁신 실증사업) 지역특화산업 AX기업 글로벌 규제 대응력 및 시장 경쟁력 제고를 위한 AI안전⋅신뢰성 확보 지원을 통해 신뢰가능한 AI생태계 조성 - AI 제품·서비스를 보유한 지역 AX기업 대상, AI 위험도 진단 및 신뢰성 보완, AI 검·인증 등 AI 신뢰성 향상 지원 - 활용 아이디어를 보유한 지역기업 대상, 기획단계부터 AI 신뢰성 컨설팅·구현· 검인증 등 AI 신뢰성 설계·확보 지원</t>
  </si>
  <si>
    <t>인공지능반도체SW통합플랫폼기술개발(R&amp;D)</t>
  </si>
  <si>
    <t>- (인공지능반도체SW통합플랫폼기술개발) 다양한 스마트 디바이스(엣지)에 국내 기술의 인공지능반도체(NPU) 적용을 위한 인공지능반도체 SW통합플랫폼 기술개발</t>
  </si>
  <si>
    <t>인공지능융합혁신인재양성(R&amp;D)</t>
  </si>
  <si>
    <t>인공지능첨단유망기술개발(R&amp;D)</t>
  </si>
  <si>
    <t>- 인공지능 기술 기반의 과학·공공·산업적 난제해결을 위해 우수 아이디어를 발굴하고, 발굴된 아이디어 대상 연구 지원을 통해 인공지능 원천기술을 확보하고 우수성과의 연구 지속성을 제공하는 인공지능 원천 R&amp;D 추진 - (AI기반과학공공난제해결) AI 기반으로 해결 가능한 고난이도 공공·사회문제 해결 (UN SDGs)을 위한 핵심원천기술개발 2024 2025 2026 예산 예산 액 (추 경) 예산 현액 집행 액 이월 액 불용 액 예산 액 (추경) 예산 현액 집행 액 이월 액</t>
  </si>
  <si>
    <t>자율주행 기술개발 혁신사업(R&amp;D)</t>
  </si>
  <si>
    <t>- (자율주행기술개발혁신사업) ‘27년 융합형 레벨4+* 자율주행 기반 조성을 위한 차량 -ICT-도로교통 연계 자율주행 융합 신기술 개발 및 융합 신산업 육성 * 차량-ICT-도로가융합하여고속도로, 교차로, 비, 눈, 안개등보다다양한운행가능영역(ODD)에서모든 운행조작과위기대응을시스템이수행하는자율주행기술수준</t>
  </si>
  <si>
    <t>자율행동체 온디바이스 응용 지원 핵심기술개발(R&amp;D)</t>
  </si>
  <si>
    <t>재난안전혁신기술개발(R&amp;D)</t>
  </si>
  <si>
    <t>- (재난안전혁신기술개발) 경주지진, 리튬배터리공장 화재 등 사회적 재난에 따른 후속 조치 등 재난재해 대응을 위한 기술개발 사업 ž (실시간해저재해감시기술개발) 해저재해(해저지진 등) 취약 해역에 대한 수중 통신 기술 기반의 실시간 해저 무선 감시망 시범 구축 및 해저재해 정보 활용 기술 개발 ž (고기능성소화탄및무인능동진압기술개발) 고층 건물 혹은 원격지 대형화재를 효율적 2024 2025 2026 예산 예산액 (추경) 예산 현액 집행액 이월액불용액 예산액 (추경) 예산 현액 집행액 이월액불용액 ○기능별 분류(합계) 3,500 3,500 3,500 - - 7,075 7,075 7,075</t>
  </si>
  <si>
    <t>저궤도 군집 위성통신용 지능형 지상국 핵심기술 개발(R&amp;D)</t>
  </si>
  <si>
    <t>- 저궤도 위성통신 시스템 기반으로 군집위성 동시 운용및 위성-지상망 연결을 위한 지상국 핵심기술 개발 ․저궤도 통신위성과 데이터 네트워크를 연결하는 피더링크 송수신 및 접속 제어를 위한 중심국 모뎀및 프로토콜기술 개발 &lt; 기술개발 내용  &gt;</t>
  </si>
  <si>
    <t>전국민 AI활용서비스 개발환경 조성</t>
  </si>
  <si>
    <t>정보보호핵심원천기술개발(R&amp;D,정보화)</t>
  </si>
  <si>
    <t>ㅇ (정보보호핵심원천기술개발) 안전한 국가 사이버 환경 조성 및 ICT 환경변화에 따른 신규보안 위협 대응 기술개발을 위해 정보보호 원천기술개발 지원 - (데이터 및 네트워크 보호 기술개발) 고도화된 사이버 침해 공격으로부터 국가·공공 주요 인프라 및 네트워크‧클라우드‧데이터 보호를 위한 정보보호 핵심기술 확보 - (취약점 대응 및 신산업 융합 보호기술개발) 디지털 전환 및 신산업 융합에 따라 새롭게 대두되는 사이버 위협 탐지‧대응 및 보호를 강화하여 신뢰 기반 디지털 사회 확산에 기여 - (공공서비스 보호강화) 민‧군, 민‧경 등 관계부처 수요기반 R&amp;D 추진 및 협업을 통해 사이버 안보‧치안‧경제 등 국민 생활과 밀접한 공공서비스 보호기술 확보 - (사이버보안 국제협력기반 기술개발) 글로벌 사이버 위협에 공동 대응하고, 선도국과의 기술격차를 줄이기 위해 주요 국가와의 국제공동연구 등 추진</t>
  </si>
  <si>
    <t>정보통신 기반보호 강화(정보화)</t>
  </si>
  <si>
    <t>정보통신방송혁신인재양성(R&amp;D)</t>
  </si>
  <si>
    <t>- (정보통신방송혁신인재양성) AI·차세대통신·ICT융합 등 ICT 유망기술 분야 석·박사급 고급 인재를 양성하여 기술 경쟁력을 제고하고 디지털 경제성장을 견인 · (교육훈련) AI·AI반도체·융합보안 등 대학원 교육과정 운영 지원, 산·학 공동 연구 교육 및 글로벌 협력 연구·교육 등을 통한 석·박사급 인재양성 · (연구지원) ICT유망기술 분야 대학ICT연구센터의 첨단 연구 프로젝트 지원을 통해 R&amp;D역량을 갖춘 석·박사급 핵심 연구인재 양성 · (정책기반지원) ICT분야 전문 인력의 직업·기술·학력별 수요와 공급을 전망하고, ICT환경 변화를 반영한 인력양성 정책 수립 지원</t>
  </si>
  <si>
    <t>제조업 AI융합 기반 조성</t>
  </si>
  <si>
    <t>지능형 홈 산업 육성</t>
  </si>
  <si>
    <t>지속가능한 데이터센터 산업 발전 지원</t>
  </si>
  <si>
    <t>○(지속가능한 데이터센터 산업발전 지원) 인공지능 시대 핵심 인프라인 국내 데이터 센터 산업의 지속 가능한 성장 기반 마련 - (지속가능한 데이터센터 산업발전 지원) 국산 장비·SW 개발·실증 고도화, 실증테스트 베드 구축, 인식개선 및 홍보 추진 등을 통해 지속가능한 데이터센터 산업 발전을 지원 - (친환경 그린 등 데이터센터 산업 활성화 기반 조성) 친환경 장비·SW 개발 실증, 비수도권 인력양성, 산업실태조사 등 친환경 데이터센터 발전 및 지방분산 활성화 기반 조성</t>
  </si>
  <si>
    <t>지역거점AX혁신기술개발(R&amp;D)</t>
  </si>
  <si>
    <t>- (사업목적) 全산업의 인공지능 전환에 따른 글로벌 신시장 선점을 위해, ‘AX R&amp;D 허브’ 조성을 통한 글로벌 선도기술력 확보 및 전략산업의 AX 가속화 - (사업내용) AX 전략 분야(완전자율로봇, 바이오·헬스케어) 기술 현안 및 난제 해결을 위한 핵심 기술개발 지원</t>
  </si>
  <si>
    <t>지역디지털인재양성</t>
  </si>
  <si>
    <t>- (지역디지털인재양성) 지역 내 초‧중등 SW‧AI 교육부터 대학, 취‧창업자 대상 산업 실무인재 양성 교육 등을 제공하여 지역 교육‧산업 격차 해소 및 균형발전 도모 - (ICT이노베이션스퀘어조성) 전국 5개 권역*의 ICT이노베이션스퀘어를 통해, AI·Data‧IoT 등디지털 신기술 분야 교육·개발·테스트·사업화 지원을 통한 실무형 SW·AI 전문인재 양성 * ➀수도권(서울‧인천), ➁동남권(부산‧울산‧경남), ➂동북권(강원‧경북‧대구), ➃호남권(광주‧전주‧전남‧제주), ➄충청권(충남‧충북‧세종) - (정보소외지역SW교육지원강화) AI‧SW교육 인프라 부족지역에 미래채움센터 구축‧ 운영, 전문강사 양성을 통해 지역 초‧중등학생 대상 AI‧SW교육 확대 및 격차 해소 * (13개 시‧도 운영) 강원, 전남, 인천, 충북, 경남, 경기, 울산, 경북(포항), 충남, 제주, 대구, 광주, 전북 - (경북53이노베이션아카데미) 디지털 대전환 시대에 요구되는 창의적인 SW 인재양성을위해, 자기주도 학습 기반의 혁신적 교육 방식을 도입한 교육기관을 경북 경산에 설립·운영 - (광주인공지능사관학교) AI 교육으로 문제 해결력 강화, 기업과의 협업을 통한 전문 인재 양성, 실무 경험을 통한 취업 기회 확대 및 일자리 창출, 창업지원으로 산업 혁신과 경제 성장 도모 - (SW마이스터고지원) SW마이스터고 고등학생 대상 AI‧SW교육 및 환경조성, 취업 및 전공지식 함양 등 지원을 통해 지역 및 산업 수요 맞춤형 AI‧SW인재 조기양성 - (지역산업SW인재양성기반조성) 지역 SW산업밀집지역 내 산·학·관 협력기관의 현장 중심 맞춤형 SW인재 양성·공급 체계마련을 통한 SW인재 선순환 생태계 구축</t>
  </si>
  <si>
    <t>지역특화 AI 공간컴퓨팅 육성사업</t>
  </si>
  <si>
    <t>ㅇ (사업목적) AI 기반 공간컴퓨팅 기술을 활용한 산업 혁신 서비스와 실질적인 효과가 높은 신규 특화분야 서비스 개발·실증 지원 ※ (공간컴퓨팅) AI가 현실공간을 직접 ’보고 이해하게‘ 만드는 기술로, 사람‧로봇 등의 위치와 움직임을 인식하여 맞춤형 정보제공과 로봇 자율주행을 지원하는 SW핵심기술 - (지역주도 선도 프로젝트) 지역사회 문제와 산업현안을 기반으로 지역특화 분야에 대한 AI·공간컴퓨팅 특화 서비스 개발 및 실증 지원 ※ 관광·산업 등 지역 핵심 현안(1차: 부산)의 편의성·생산성 제고를 위해 공간컴퓨팅 기술을 활용한 AR·로 봇 등 지능형 서비스 개발</t>
  </si>
  <si>
    <t>차세대 AI+S&amp;T 기반기술개발(R&amp;D)</t>
  </si>
  <si>
    <t>- (차세대 AI+S&amp;T 기반 기술개발) 연구의 효율성과 정확성을 획기적으로 향상시키고 파급력이 큰 3대 핵심 연구 분야 AI 기반기술 개발 지원을 통해 초연산, 원리 규명 등 새로운 과학기술 지식 창출에 활용 가능한 차세대 AI 기반 기술* 확보를 통해 * (예시) 과학적파운데이션모델, 뇌신경망모사초저전력하이브리드AI 등</t>
  </si>
  <si>
    <t>차세대 네트워크 AI파운데이션 모델(NFM) 개발(R&amp;D)</t>
  </si>
  <si>
    <t>ㅇ 통신 네트워크 환경에서 AI기반 분석과 최적화를 수행하기 위한 대규모 AI 모델인 네트워크 파운데이션 모델 개발 및 실증 - (차세대 네트워크 AI파운데이션모델(NFM)개발) 국내 네트워크 산업·서비스 생태계 활성화와 글로벌 네트워크 시장 경쟁력 강화를 위한 자립형 네트워크 파운데이션 모델(NFM) 확보</t>
  </si>
  <si>
    <t>차세대 네트워크 선도 연구시험망 구축운영(R&amp;D)</t>
  </si>
  <si>
    <t>ㅇ 글로벌 기술 패권 경쟁 및 자국 우선주의 횐경에서 기술 주권 확보를 위한 “차세대 네트워크 기술혁신 선도 연구시험망”을 구축·제공하고, 민·관 간 초협력을 통한 실증·시험 영역 확대 및 이용 활성화 촉진 - (차세대 네트워크 선도 연구시험망 구축운영) 산·학·연이 차세대 네트워크 분야 연구 및 기술개발을 진행하고 시험·검증 등을 수행할 수 있도록 국내 유일의 전국 단위 연구개발망 구축·운영</t>
  </si>
  <si>
    <t>차세대 특화망 융합산업 활성화 기반구축</t>
  </si>
  <si>
    <t>차세대네트워크(6G) 산업기술개발(R&amp;D)</t>
  </si>
  <si>
    <t>o (차세대 네트워크(6G) 산업 기술개발) 6G 기술패권 경쟁 대비, 차세대 네트워크 기술‧표준 선점을 위한 6G 시장 선도기술 개발 - (차세대 네트워크(6G) 산업 기술개발) 6G 관련 상용화 연구*, 6G 핵심부품 자립화**, 표 준 대응*** 등 6G 산업 기술개발 지원 * Upper-mid 대역 기술, 커버리지, SW(Cloud-Native, AI-Native), 성능보장 기술 연구 ** 기지국·단말, 네트워크 부품 중 국산화 가능성 및 시장 파급력 등을 종합적으로 고려, 국내 기술 주도로 핵심부품 확보 추진 *** 민·관 협력을 통해 6G R&amp;D와 연계한 표준 반영·개발 및 표준필수특허 지분 30% 이상 확보 추진 - (차세대 네트워크(6G) 사업단 운영) 6G 산업기술개발 사업 관리, Pre-6G 기술시연 준비 등을 위한 사업단 지원</t>
  </si>
  <si>
    <t>차세대생성AI기술개발(R&amp;D)</t>
  </si>
  <si>
    <t>차세대지능형반도체기술개발(설계)(R&amp;D)</t>
  </si>
  <si>
    <t>첨단신약 타겟 발굴 검증 및 기반기술 개발(R&amp;D)</t>
  </si>
  <si>
    <t>ㅇ (첨단신약 타겟 발굴·검증 및 기반기술 개발 사업) 산·학·연·병에 타겟 발굴·검증, AI·빅데이터 연구, 신규 모달리티 기술 개발 지원을 통하여 디지털 혁신과 새로운 모달리티가 융합된 첨단신약 개발 및 생태계 활성화 추진 - (첨단신약 타겟발굴 및 검증지원) AI, 오믹스 기반 정밀 타겟 발굴, 후보약물의 작용 기전 및 타겟의 유효성 검증 연구 신규과제 지원 - (디지털 융합 첨단신약기술 개발) 디지털과 융합하여 범용적 활용이 가능한 플랫폼 기술 개발 신규과제 지원 - (신규 모달리티 핵심기술 개발) 기존 소분자·항체치료제들의 한계를 극복하는 신규 모달리티 핵심 기술 개발 신규과제 지원</t>
  </si>
  <si>
    <t>초거대AI 클라우드팜 실증 및 AI 확산 환경조성</t>
  </si>
  <si>
    <t>경북지역의 중소·벤처기업 등이 AI 기술과 서비스 개발에 필요한 인프라와 플랫폼 등을 제공 하는 ➊초거대 AI 클라우드 테스트베드를 구성하고, ➋지역 중소기업과 민간 빅테크 기업의 협력을 통한 AI 플랫폼 및 서비스 실증, ➌산학연 협력생태계 조성 → 지역의 AI·SW 중소 기업 경쟁력 강화 및 지역 특화산업 육성 등 초거대 AI 생태계 활성화 촉진 제고 - (내역사업➊ 초거대AI 인프라 구성) 지역 초거대 AI 테스트베드 제공을 위해 초거대 AI 고성능 인프라 및 지역특화 경량 초거대 AI 플랫폼을 구성하여, 기술력이 열악한 지역 중소·벤처 기업 대상 AI 인프라, 플랫폼(API 등) 및 전문기술 등 집중 지원 - (내역사업➋ 초거대AI 융합플랫폼 실증) 민관협력으로 초거대 AI 빅테크 기업과 지역 기관·대학·중소기업 간 협력하여, 지역 현안해결 및 특화산업 육성을 위한 초거대 AI 융합플랫폼, 특화 서비스 개발 및 실증을 통한 AI 기술 확산 - (내역사업➌ 산학연 협력생태계 조성) 지역 산학연과 연계하여 현장 수요 기반의 초거대 AI 전문 인력 지원, 창업지원 및 멘토링 등 AI 확산을 위한 협의체 구성·운영</t>
  </si>
  <si>
    <t>초거대산업AI연구지원(R&amp;D)</t>
  </si>
  <si>
    <t>초고층 복합시설 복합재난관리 디지털플랫폼 기술개발</t>
  </si>
  <si>
    <t>최고급AI해외인재유치지원(R&amp;D)</t>
  </si>
  <si>
    <t>치매의료기술연구개발사업(R&amp;D)</t>
  </si>
  <si>
    <t>칩렛기반저전력온디바이스AI반도체기술개발(R&amp;D)</t>
  </si>
  <si>
    <t>- (칩렛기반저전력온디바이스AI반도체기술개발) 칩렛기반 저전력 온디바이스에 최적 화된 허브 SoC* 개발 및 이를 활용하여 sLLM 특화 AI반도체 및 초저전력 SNN가 속기 기술개발을 지원하는 것임 * 칩 개발에 공통으로 필요한 IP(CPU, ISP, 메모리, 주변 인터페이스 등)를 포함한 SoC</t>
  </si>
  <si>
    <t>컴퓨팅자원집중형인공지능응용기술개발(R&amp;D)</t>
  </si>
  <si>
    <t>- (컴퓨팅자원 집중형 인공지능 응용 기술개발) AI R&amp;D의 필수 요소인 분산된 고성능 컴퓨팅 자원을 집적화하여 AI기술혁신 및 기술적 한계 극복을 위한 AI 기술개발</t>
  </si>
  <si>
    <t>클라우드컴퓨팅산업육성(정보화)</t>
  </si>
  <si>
    <t>○(클라우드컴퓨팅산업육성) 인공지능 시대 핵심 인프라인 클라우드 산업 육성 및 이용 확산을 통한 국가 디지털 경쟁력 제고 - (클라우드서비스 활성화 및 기업경쟁력 강화) 국내 산업별 클라우드 서비스 개발· 사업화 지원, 전문인력 육성 등 국내 기업경쟁력 강화 및 생태계 활성화 추진 - (공공부문 클라우드 도입 촉진) 공공부문의 민간 클라우드 도입·확산을 위한 디지털 클라우드 신뢰성 확보 및 이용자 보호 소관부처 정보보호네트워크정책실 정보보호네트워크담당관 사이버침해대응과 사업시행주체 한국인터넷진흥원 서비스 전문계약제도 운영·관리, 공공이용 SaaS 개발지원 등 - (클라우드 신뢰성 확보 및 이용자 보호) 클라우드 보안인증제도 운영, 클라우드 서비스 보안취약점 점검을 통한 클라우드 서비스 신뢰성 확보 및 안전한 이용환경 조성</t>
  </si>
  <si>
    <t>피지컬AI선도기술개발(R&amp;D)</t>
  </si>
  <si>
    <t>한국건설기술연구원연구운영비지원(R&amp;D)</t>
  </si>
  <si>
    <t>- (한국건설기술연구원연구운영비지원(R&amp;D)) 국가기반시설 성능 고도화, 기후변화 대응 국토관리, 친환경 국토조성에 관한 원천기술 개발과 성과 확산을 통해 국민 삶의 질 향상과 국가 발전에 기여 - (재난･재해 대응 기술 개발) 위성데이터 기반의 시설물 유지관리 등 스마트 유지관리·성능 혁신 기술 개발, 초고속 화재 대응 및 화재 디지털 트윈 기술을 활용한 선제적 대응 솔루션 개발, 지반 액상화 예측, 지하시설물 안정성 평가, 도시홍수 제어 기술을 연계한 통합 안전관리 체계 구축으로, 안전·안심 인프라 구축 및 국가·사회 문제 해결 - (탄소중립 건설 기술 개발) 친환경 에너지, 폐자원 기반 에너지 전환 핵심기술 개발, 도시·건축물 에너지 고효율, 최적 관리시스템 기술 개발, 디지털·AI 기반 물관리 혁신과 미래형 수자원 기술개발을 통해 탄소저감 및 지속가능 건설 기술 확보로 쾌적한 국민 생활환경 확보 - (미래공간 조성 기술 개발) UAM, 자율주행, 스마트도로 등 첨단 모빌리티 수용을 위한인프라 기술개발, 초고밀도 저방사화 콘크리트 등 신 에너지 인프라 건설재료 기술 개발, 우주 및 지하 공간 등 신공간 창출을 위한 건설 핵심기술 개발을 통해 미래 건설산업의 새로운 성장 동력 창출 - (건설 산업 혁신 선도 기술 개발) 중소·중견 건설기업의 현장 적용과 수요기반 기술개발 지원, 지역 사회 생활환경 개선 및 국토 균형발전 이슈 대응을 통한 현장 중심의 문제해결형 건설기술 개발, 저개발 국가의 특성 및 기술 수준을 고려한 현지 맞춤형 적정기술 개발을 통해 건설산업의 글로컬 문제 해결에 기여</t>
  </si>
  <si>
    <t>한국과학기술연구원 연구 운영비 지원(R&amp;D)</t>
  </si>
  <si>
    <t>- (한국과학기술연구원 연구운영비 지원) 종합연구기관의 강점을 바탕으로 기초‧원천 기술 분야의 선행 연구개발 및 학제 간 융합기술 개발 - (뇌과학연구사업) 신경회로 작동원리 이해를 통한 인지기능의 과학적 규명 및 종단적 뇌기능회로 연구를 통한 혁신적인 브레인 툴박스 개발 - (바이오·메디컬융합연구사업) 고령·장애인 질환 극복 및 신종 감염병 대응 연구 및 미래 맞춤의료의 융합 원천 기술 제공 - (청정수소융합연구사업) 탄소중립 이행에 따른 대규모 수소 공급에 대비, KIST 기술로 국내·외 수소 생산 공급망을 구축하여 높은 경제성과 안전성을 확보한 수소경제 구현 - (기후‧환경연구사업) ‘지구온난화-극한기후-물 불균형’의 악순환 해결 및 글로벌 기후안보 확립을 위해, 생태계 탄소순환 회복 기술을 통한 탄소 네거티브 혁신주도 및 기후재난 억제 - (차세대반도체연구사업) 양자/반도체/소자 역량을 결합한 미래형 컴퓨팅 기술 개발 - (AI‧로봇연구사업) 스마트 기술을 기반으로 사용자가 건강하고 쾌적한 삶을 살아갈 수 있도록 AI/로봇/ICT융합을 통한 생활환경 구현 - (첨단소재‧시스템연구사업) 미래 첨단 소재기술 분야의 기술역량 강화 및 첨단장비· 데이터 기반 연구수행 - (지속가능미래기술연구사업) 국가적 현안문제 대응 연구수행 및 글로벌 이슈분야에서 연구리더십 확보 - (협력기반구축사업) 글로벌 R&amp;D협력을 통한 기초원천 기반기술 확보 및 국내외 협력 연구 플랫폼 구축·강화를 통한 개방형 연구 추진 - (융복합개방형연구사업) 국가적으로 중요한 사회문제 또는 출연(연)이 해야만 하는 미지연구 영역개척을 위하여 개방형 융합 기술 개발 및 각종 재난상황 및 국민의 행복한 삶 등 국가적으로 중요한 이슈에 대한 근본적인 해결 - (기술확산연구사업) 기술 상용화 후속연구를 통한 기술의 완성도 향상 및 이를 통한 KIST 보유기술의 산업계 확산 지원 - (자율구성 모듈형 휴머노이드 개발단) 로봇의 자율적 판단에 의해, 주어진 작업에 필요한 신체부위를 스스로 선택·구성하는 세계최초 모듈형 휴머노이드 기술 개발 - (한반도 탄소위기 극복기술 개발단) 국가탄소감축목표(NDC) 달성을 위해 필수적인 한반도 맞춤형 탄소직접제거(CDR) 기술 확보 - (노화면역 정밀제어 혁신치료제 개발단) 노화 면역세포를 효과적으로 회복시키고, 내성이나 면역저하 등 부작용을 최소화하는 혁신치료제 개발</t>
  </si>
  <si>
    <t>한국과학기술원 연구 운영비 지원(R&amp;D)</t>
  </si>
  <si>
    <t>□산업발전에 필요한 과학기술분야에 관하여 깊이 있는 이론과 실제적인 응용력을 갖춘 고급과학기술인재 양성</t>
  </si>
  <si>
    <t>한국과학기술정보연구원 연구 운영비 지원(R&amp;D)</t>
  </si>
  <si>
    <t>(한국과학기술정보연구원 연구 운영비 지원(R&amp;D)) - 과학·기술 및 이와 관련된 산업정보의 종합적인 수집·분석·서비스 - 정보의 관리 및 유통에 관한 기술·정책·표준화 등의 전문적인 조사·연구 - 과학 및 산업기술 연구개발 인프라의 체계적인 구축·운영 ⇒국가 과학기술 진흥과 산업의 발전에 기여(정관 제1조) - 내역사업별 설명 (인건비) 국가과학·기술지식정보 분야 전문연구기관으로서 기관 고유사업 수행에 필 요한 인건비 실소요액 지원 (경상경비) 국가과학·기술지식정보 분야 전문연구기관으로서 기관 고유사업 수행에 필요한 경상운영비 실소요액 지원 (컴퓨팅인프라 구축 및 운영) 세계적 수준의 국가R&amp;D 인프라 구축 및 운영을 통한 첨단 연구 지원 (데이터플랫폼인프라 구축 및 운영) 국가 핵심 과학기술정보·데이터의 전략적 구축 및 공유·활용 체계 완성 (고유임무 기반 국민체감형 R&amp;D) HPC·데이터 기반의 국가·사회 현안을 직접적으로 해결할 수 있는 솔루션 개발을 통해 국민의 안전하고 행복한 삶 증진에 기여 및 공공기술의 기술산업화 지원을 통한 산·학·연 동반성장 창출 (장비구입비) 주요연구장비의 체계적 도입을 통한 R&amp;D예산 투자효율성 확보 및 관리체계 고도화 (AI-화이트해커 기반 해킹제로 시스템 개발)선제적·능동적 국가 사이버안보 체계 구축을 위한 「AI-사이버트윈·화이트해커·프로파일러」기술 확보 (생활하수 활용 질병 AI 조기경보 개발)유행성 질병 AI 조기경보를 위한「온-디바이스 상시 검출기 및 질병 AI 예측/분석 플랫폼 개발」을 통해 안전한 국민 생활환경 조성 및 신산업 창출 (차세대 유무선통신 통합 게이트웨이 개발)소프트웨어 정의 유무선 X-Gateway 시스템 개발과 국산화를 통한 세계적 수준의 성능 지표 달성과 국가 선도산업 창출 및 경제적 가치 증대</t>
  </si>
  <si>
    <t>한국기계연구원연구운영비지원(R&amp;D)</t>
  </si>
  <si>
    <t>- (한국기계연구원 연구운영비 지원) 기계분야의 산업원천기술 개발 및 성과확산, 신뢰 성평가, 시험평가 등을 통해 국가 및 산업계의 발전에 기여 - (인건비) 기계분야의 산업원천기술 개발 및 성과확산, 신뢰성평가, 시험평가 등을 위한 연구인력 및 지원인력 인건비 지원 - (경상운영비) 제세공과금, 자산취득 및 유지비, 기타 기관운영 경비 등 기관운영에 소요되는 경상경비 지원 - (첨단 로봇 및 제조장비 기술 개발)  차세대 로봇플랫폼 및 지능(AI) 기술과 이차 전지·반도체 제조장비 국산화를 위한 첨단 제조장비 기술 개발 - (무탄소/고효율 에너지기계기술 개발) 탄소중립 달성을 위한 온실가스, 미세먼지 저감 초청정, 고효율 환경·에너지 핵심 공정·설비 개발 - (기계엔지니어링 디지털전환 기술 개발) 기계산업 전반의 디지털 전환(DX)을 선도 하기 위한 기계엔지니어링 설계·제조 및 DX 구현 소재·부품 기술 개발 - (산업계 지원 및 미래유망 기계산업 기획) 기관전략 및 미래도전 사업 발굴·기획 등을 통해 기계산업 발전방향 제시, 기업현장 애로기술 지원 및 기업수요 기반 보유기술 사업화를 통한 산업계 지원 창업 및 사업화 촉진을 위한 생태계 조성 - (장비구입비) 연구계획에 따라 실소요 중심의 연구장비 도입계획을 수립하고 효율적으로 도입하여 연구에 신속히 활용될 수 있도록 지원 - ((전략연구사업) 미래산업용 20 K 대용량 모듈형 극저온 냉각시스템 개발) 수소, 우주, 초전도 등 미래산업의 필수 기반인 모듈형 극저온 냉각시스템 개발 - ((전략연구사업) 설계 엔지니어링 자율화를 위한 AI Agent 개발) 전문가의 개입 없이 설계 엔지니어링을 인공지능이 자율적으로 수행하는 AI Agent 핵심 기술 개발 - ((전략연구사업) 반도체 제조용 차세대 플라즈마 식각 핵심기술 개발) 차세대 반도체 제조용 극저온 플라즈마 식각장비 핵심기술 개발 - ((전략연구사업) 폐플라스틱 열분해 플랜트 기술 개발 및 실증) 폐플라스틱 연속식 열분해 플랜트 및 열분해유 기반 화학연료 생산 기술 개발 및 실증</t>
  </si>
  <si>
    <t>한국기초과학지원연구원 연구 운영비 지원(R&amp;D)</t>
  </si>
  <si>
    <t>- (한국기초과학지원연구원 연구운영비 지원(R&amp;D)) 국가 과학기술 발전에 기반이 되는 기초 과학 진흥을 위한 연구시설·장비 및 분석과학기술 관련 연구개발, 연구지원 및 공동연구 수행 - (국가연구시설장비 운영) 분석과학 Meister 주도형 첨단 연구장비 활용 전문 분석지원및 공동연구를 통한 신사업 분야의 고부가가치 창출 - (분석과학 특성화 연구) 분석과학 신규 영역 발굴 및 원천 분석기법 개발 - (분석과학 인프라 구축 및 과학기술 현안 대응) 개방형 분석과학 생태계 구축 및 국가·사회문제 이슈 대응을 위한 분석과학 기반 현안 해결 연구 - (연구장비 산업화 기술 개발 및 지원대응) 연구장비 핵심기술 고도화 및 실증화를 통해 글로벌 경쟁력을 확보하고 상용화를 실시하여 연구장비 산업 역량강화 - (췌장암 조기 진단 솔루션 개발) 난치성 질병의 예측·예방 시스템 구축을 위한 질병 진행 단계별 수치화 및 맞춤형 정밀 헬스케어 구현 - (고전력 에너지 시스템용 전력반도체 개발) 국내 전력반도체 핵심 소재·소자 기술 확보 - (장비구입비) 기초과학 지원 기관으로서 연구소요 맞춤형 연구장비의 체계적 구축</t>
  </si>
  <si>
    <t>한국뇌연구원 연구운영비 지원(R&amp;D)</t>
  </si>
  <si>
    <t>- (한국뇌연구원 연구운영비 지원) 뇌연구 촉진법 제17조(정부출연연구기관의 설립 등)에 따라 국내 뇌연구 역량을 결집하고, 국가 유일의 뇌연구 전문 국책연구기관으로 뇌융합 연구를 통한 국가 아젠다 해결 및 국내외 뇌연구 허브기능 수행 ‧ (인건비) 기관 설립목적 및 임무달성을 위한 직원 인건비 지원 ‧ (경상경비) 연구성과 창출지원 및 안정적인 기관운영을 위한 각종 제세공과금, 시 설 공공요금 등 경상경비 지원 ‧ (뇌신경망 및 뇌질환 중점연구) 뇌신경망의 구조-기능 이해 기반 뇌손상 제어기술 개발, 치매 등 뇌질환의 발병원인 규명, 진단 및 제어법 연구 ‧ (허브-스포크 기반 융합 뇌연구) 국가 뇌연구 허브 구축 및 기능 수행, ‘산-학-연-병’ 협력연구 기반 조성 및 뇌융합 연구 수행 ‧ (뇌연구 인프라 운영 활성화) 뇌연구에 필요한 장비 및 재료인프라 구축 및 공동활용 ‧ (뇌연구정책센터 운영) 국가 뇌연구 전략 기획 및 정책 수립 지원, 뇌관련 정보 집적화 등 Think–Tank 역할 수행 ‧ (정보시스템 구축) 정보시스템 개발 및 고도화, 네트워크 및 보안시스템 구축, 유지보수 ‧ (KBRI Brain Brand 사업) 글로벌 수준의 대표과학자 육성 및 신진인재 확보 ‧ (장비‧시스템구축비) 뇌연구 수행 필수 기초장비 및 뇌연구 관련 특수장비 구축 ‧ (생애 전주기 뇌질환 타겟 브레인 리부팅 치료제 개발) 생애 전주기 난치성 뇌질환 대상, 신경 가소성 향상과 손상된 뇌기능을 복구시키는 사이키델릭 기반 혁신 치료제개발 ‧ (다차원 융합기술 기반 뇌발달질환 진단·치료기기 개발) AI 일상행동 분석 기술 등을 개발 하고, 개별 데이터베이스 기반의 뇌발달질환 맞춤형 진단‧치료 기기 개발</t>
  </si>
  <si>
    <t>한국산업은행출자(AI컴퓨팅 인프라 확충)</t>
  </si>
  <si>
    <t>- (한국산업은행 출자) 민‧관 출자를 바탕으로 특수목적법인(SPC)를 설립하고, 첨단 AI반도체(GPU 등) 기반으로 AI컴퓨팅 인프라 확충 - 이를 바탕으로 대학‧연구소‧스타트업 등에 AI컴퓨팅 자원을 제공하고, 국산 AI반도체 활성화 지원과 정부 R&amp;D성과 적용 및 글로벌 기업 협력 등 추진</t>
  </si>
  <si>
    <t>한국생명공학연구원 연구 운영비 지원(R&amp;D)</t>
  </si>
  <si>
    <t>- (한국생명공학연구원 연구운영비 지원) 생명과학기술분야의 연구개발 및 공공인프라 구축‧운영을 통해 국가 생명과학 기술, 산업발전 및 국가‧사회현안 해결에 기여 &lt;기본사업&gt; · (첨단바이오 의약 원천기술 개발) 차세대 유전자‧세포 치료제 등 개발을 통해 난치질환 극복방안 제시 및 개인 맞춤형 치료를 위한 미래혁신기술 개발로 국민의 건강한 삶 실현 · (첨단 바이오 융합 소재 및 기술 개발) 바이오 융합기술과 고부가가치 바이오소재 개발을 통한 신산업 창출 및 융합형 신영역 발굴을 위한 도전적 연구기반 확대 · (국가사회현안 해결 바이오핵심기술 개발) 노화, 감염병, 기후‧환경변화 등으로 발생 하는 바이오분야 국가사회현안 해결을 위한 핵심 원천기술 개발 · (바이오 인프라 선진화) 글로벌 수준의 생명연구자원 및 정보 확보‧보존‧활용 체계 고도화, 기술지원및 바이오 정책 기반 구축 &lt;전략연구사업&gt; · (AI 활용 하이브리드 치료제 전략연구사업) 기존 의약품 한계(부작용, 내성 발생 등) 극복 및 신규 모달리티 시장 선점을 위한 신규 하이브리드 모달리티 치료제 개발 추진 · (이식형 오가노이드-장기 전략연구사업) 장기 이식 수요 대응 등 국가사회적 현안 해결 및 산업 여건이 열약한 국내 인공장기 및 오가노이드 산업생태계 성장을 위한 이식형 오가노이드-장기 및 재생치료제 개발 추진 · (합성생물학 기반 바이오항공유 전략연구사업) 미세조류 합성생물학 기반 바이오항공유 생산 기술 개발을 통한 국가 온실가스 감축목표 달성 기여 및 바이오제조 경제 활성화</t>
  </si>
  <si>
    <t>한국생산기술연구원연구운영비지원(R&amp;D)</t>
  </si>
  <si>
    <t>ㅇ (한국생산기술연구원 연구운영비 지원(R&amp;D)) 생산기술분야의 연구개발 및 실용화, 중소·중견기업의 기술지원 및 성과확산 등을 통해 국가산업발전에 기여하기 위함 - (인건비) 3대 중점연구분야의 생산기술 개발 및 중소기업 기술지원을 위한 전문 인력의 기본적이고 안정적인 인건비 지원 - (경상비) 기관운영을 위해 소요되는 기본적인 운영비(기본공과금, 자산취득 및 유지비 등) 지원 - (지능화뿌리기술 연구개발사업) 국내 제조업 기반을 구성하는 핵심 공정기술의 고도 화를 통해 주력산업 및 신산업의 경쟁력 제고를 목적으로 연구개발을 추진, 미래 유망산업인 AI, IoT, 로보틱스, 3D프린팅 등 디지털 요소기술을 융합하여 고부가가 치화된 지능형 뿌리공정으로의 전환 촉진을 위한 기술개발 - (지속가능기술 연구개발사업) 제조산업의 탄소중립 전환, 친환경화, 에너지 고효율화 등을 통해 환경과 공존하는 산업생태계 구축을 목적으로 추진 →특히, 국제사회의 기후협약 및 ESG 규제 강화와 연계되어, 산업계의 근본적 체질 개선(지속가능성 확 보)을 위한 탄소중립 제조생산 대응기술 확보를 위한 기술개발 - (인간중심생산기술 연구개발사업) 제조산업 지능화가 인간 삶의 질을 향상시키는 방 향으로 구현되도록 연구개발을 추진하여 로봇, 스마트 모빌리티/바이오 등 사람 중 심 기술개발 및 응용 가능성을 확보하는 R&amp;D로, 안전·건강· 고령화 사회 등의 수요 를 반영한 국민 체감형 기술 확보를 위한 기술개발 - (생산기술제조혁신 실용화지원사업) 국내 중소·중견기업의 생산기술 확보를 지원하고, 지역산업 혁신 생태계의 균형 있는 성장을 도모하는 실용화 중심 기술지원을 목적으로 추진하고 전국 3개 전문연구소와 7개 지역조직 인프라를 활용하여 기술지원과 기업 맞 춤형 실증/사업화를 병행 지원 및 관련 기술개발 추진 - (장비구입비) 기관주요사업 계획에 맞는 연구장비 도입 추진</t>
  </si>
  <si>
    <t>한국식품연구원연구운영비지원(R&amp;D)</t>
  </si>
  <si>
    <t>- (사업목적) 식품 분야의 연구개발, 공익가치창출, 성과확산 및 기술지원 등을 통해 국가산업 발전과 국민의 삶의 질 향상에 기여 - (내역사업 사업목표 및 내용) ○(내역사업1) 식품공정 전자동화 전략연구사업 ․ AI 기반 다중센싱 융합 및 정보연계 기술을 활용한 식품공정 전자동화 자율생산 시스템 개발 ○(내역사업2) K-SPIRITS 전략연구사업 ․ 균주·증류기·숙성기 요소기술 국산화 및 AI 기반 증류주 초가속 숙성 기술개발 연구 ○(내역사업3) 국민 건강 증진을 위한 식품 기능 및 영양대사 조절 연구 ․ 건강백세시대 실현을 위한 식품의 건강 기능 구명 및 질환 조절 연구 ․ 건강관리 및 만성질환 예방을 위한 정밀식이 연구 ○(내역사업4) 국민 영양안보 확보를 위한 식품공급망의 지속가능성 기반 구축 ․ 식품 품질·안전 데이터 기반 생산유통관리기술 개발 ․ 식품산업 지속가능성 강화 융합 기술 개발 ○(내역사업5) 식품산업 경쟁력 강화를 위한 원천기술 개발 및 서비스 지원 ․ 소비자 수요 대응 푸드테크 핵심기술 개발 ․ 식품산업 기술산업화 기반 구축 ․ 미래연구 지원 인프라 구축</t>
  </si>
  <si>
    <t>한국에너지기술연구원연구운영비지원(R&amp;D)</t>
  </si>
  <si>
    <t>- (한국에너지기술연구원 연구운영비 지원(R&amp;D)) 에너지기술 분야의 산업원천기술 개발 및 성과확산 등을 통해 국가 성장동력 창출과 국민경제 발전에 기여하기 위한 연구개발사업 수행 - (①탈탄소 사회 실현을 위한 에너지 생산, 장단기 에너지 저장, 활용 혁신기술 개발) 신재생에너지 생산·저장·활용 등 에너지 공급 분야의 탈탄소화 혁신 기술 개발을 통한 탄소중립 실현 - (②온실가스 감축과 기후위기 대응 기술 개발) 온실가스 포집·전환·활용 및 청정· 자원순환 기술 역량 강화를 통한 기후 위기 대응 및 탄소중립 사회 구현 기반 마련 - (③에너지 기술 전주기 사업화 전략 플랫폼 구축 사업) 에너지 기술개발의 국가 임무 달성과 산업 현장 적용 및 글로벌 확산을 지원하는 전주기 사업화 전략 플랫폼 구축·운영 - (④국산 언어모델 기반 에너지 비용 15% 절감 건물·에너지 산업공정 설비 자율운전 AI 에이전트) 에너지 효율 15% 향상 건물·산업공정·e전환 설비 자율운전 국산 AI 에이전트 개발 - (⑤플라스틱세 도입 및 재생원료 의무사용 30% 국제규제 대응을 위한 폐플라스틱 자원순환 플랜트 개발) 재활용이 불가능한 혼합 폐플라스틱을 연·원료화하는 자원 순환 통합 공정 구축 및 운전시스템 개발 - (⑥폭발 위험없는 24시간(One-day) 사용 장주기 수계 배터리-ESS) 화재 위험 없이 24시간 작동가능한 수계 이차전지 스택 양산화를 위한 자동화 공정 개발 및 BESS 실증</t>
  </si>
  <si>
    <t>한국원자력연구원 연구 운영비 지원(R&amp;D)</t>
  </si>
  <si>
    <t>□(한국원자력연구원 연구 운영비 지원(R&amp;D)) 원자력의 연구개발을 종합적으로 수행해 학술의 진보, 에너지 확보 및 원자력의 이용을 촉진 - (선진원자력 기술개발 및 성과확산) 선진원자로 핵심기반 기술 개발 및 검증, 연구로 해외수출 기반 확대, 하나로 핵연료 국산화로 축적된 기술력을 발전시켜 분산형 고밀도 신형 연구로 핵연료 공정기술 개발 - (방사성폐기물 통합관리 및 방사선 재해방지) 방사능 재해방지를 위한 방사성폐기물의 통 합적인 안전관리 및 관련 시설의 안전 운영, 자원화 핵심 기술 개발 - (첨단 방사선 융합연구기반 구축) 미래 산업 창출에 기여하는 방사선 융·복합 연구 지원시설 운영 및 관련 기반연구 수행을 통한 방사선 신기술 개발 및 방사선 산업 육성에 기여 - (원자력·양자빔 연구 종합인프라 운영 및 핵심 기초연구) 하나로 등 국가대형연구 시설의 안전하고 효율적인 운영을 통한 기초과학 및 첨단 산업 진흥, 동위원소 생 산을 통한 국민 의료 복지 등에 기여 - (원자력 인재육성·정책 및 글로벌협력 지원) 원자력 기술협력사업 지원을 통한 원자력·방사선 기술사업화 생태계 구축, 국내·외 원자력 교육과정 개발 및 운영을 통한 글로벌 원자력 전문 인재육성, 국가 원자력 정책 수립 지원 및 이행방안 연구 및 우리나라 원자력의 평화적 이용 및 기술개발을 위한 국제 수용성 확보, 원자력 정보 컨텐츠 확보 및 제공을 통한 연구개발 성과 증대 - (장비·시스템 구입비) 연구사업의 효과적 수행을 위한 연구장비의 효율적 구입· 운용, 기관고유 임무수행 등에 필요한 신규연구장비 도입 및 노후장비 교체 등 - (표준설계인가 획득 SMR 상용화 위한 설계최적화 및 AI기반 운영시스템 개발) 표준설계인가를 획득한 SMR(SMART100)의 시장수요 대응 설계 최적화 및 AI 기반 운영시스템 개발을 통한 글로벌 SMR 시장 수출 - (난치성 질환 진단·치료 위한 방사성원료의약품 생산 및 개발) 의료용 방사성동위 원소의 안정공급과 수출산업화를 위한 자급 생산 기반 확보 및 산업 확대 추진 - (양자컴퓨터 오류정정 기술 혁신을 위한 양자급 무오류 양자소재 개발 및 실증) 양자소재 개발을 통한 양자오류 극복 및 양자 관련 응용 산업의 국가 경쟁력 확보를 통한 미래 양자산업 선도 - (고효율 초임계 CO2 발전을 위한 재압축기 개발) 무탄소 분산 전원의 발전효율 증대 위한 초임계 CO2 발전시스템 개발</t>
  </si>
  <si>
    <t>한국재료연구원연구운영비지원(R&amp;D)</t>
  </si>
  <si>
    <t>□(세부사업) 한국재료연구원 연구운영비 지원(R&amp;D) - 소재분야의 연구개발, 성과확산, 시험평가, 기술지원을 통해 국가 소재 연구개발의 구심점 역할 수행, 국가 소재산업 발전 및 국가‧사회문제 해결에 기여</t>
  </si>
  <si>
    <t>한국전자통신연구원연구운영비지원(R&amp;D)</t>
  </si>
  <si>
    <t>- (연구개발인건비) 기관 고유임무 수행에 필요한 인건비 - (연구개발경상경비) 기관 고유임무 수행에 필요한 경상경비 - (연구개발장비․시스템구축비) 주요사업 연구 수행을 위한 장비 구입비 지원 - (연구개발활동비 등) 기관 R&amp;R 및 국가전략기술 등 정부정책과 연계한 미래 선점형 핵심 원천연구및 기술 원천성 중심의 차별화된 주요사업 추진 · (내역사업➊: 핵심원천기술개발) 차세대 입체통신, AI·로보틱스, AI 반도체, 디스플레이등 핵심 ICT 분야 전반에 걸쳐 기술 패러다임 전환을 주도할 수 있는 원천기술을 선제 확보함으로써 미래 디지털 사회를 선도할 기술 주권과 산업 경쟁력 강화 · (내역사업➋: 첨단융합기술개발) 도메인 특화형 ICT 융합·지능 기술을 개발을 통하여 도시 극한호우를 비롯하여 첨단 바이오, 산업 지능화 등 다양한 사회·공공 문제 해결을 지원 · (내역사업➌: 사업화촉진 및 지역 전략산업육성) ICT 연구개발 성과의 사업화 촉진 및 기업 혁신성장 지원, 사업화 전략 및 성과활용 촉진체계 운영, 기술창업 및 사업화기업의 기술 경쟁력 강화를 통화여 연구개발 결과물의 활용성 극대화 및 지역특화·전략산업 연계 ICT 융합 지능화 솔루션 기술 개발 및 지역기업 기술사업화 지원을 통하여 지역 발전의 기반이 되는 기술 성과확산 및 중소기업 기술력 강화 · (내역사업➍: 차차세대 미래원천 연구) 신개념 창의기술 및 차차세대 신소재·신소자 원천기술을 개발함으로써, 2030년까지 미래 인공지능·ICT 핵심 부품 및 원천기술의 선제적 확보를 통해 글로벌 기술 경쟁력을 선도하고 미래 산업 생태계의 기반을 마련 · (내역사업➎: ICT 기술전략 및 전략기술 표준화 사업) 국가 디지털 경쟁력 강화를 위한 전략기술 중심의 정책 수립, 표준화 추진, 기술전략 수립을 통합적으로 수행하여, 디지털 기술패권 시대에서의 선제적 대응 지원 · (내역사업➏_전략연구사업:3GPP NTN Positioning 기반 저궤도 위성 항법ž통신 통합 핵심기술 개발) 저궤도 위성 기반의 위성항법 통신 통합 탑재체 핵심 기술 개발을 통한 고정밀 항법서비스 및 위성통신 제공 및 3GPP NTN Positioning 국제 표준 선도 · (내역사업➐_전략연구사업: 3GPP IoT-NTN 표준 기반 Regenerative IoT 위성(탑재체) 발사 및 서비스) 6G 시대 글로벌 초연결 네트워크 실현을 위한 초소형 위성 기반 6G IoT-NTN 핵심 기술 개발 및 표준 IPR 확보 · (내역사업➑_전략연구사업: 사용자 맞춤형 형상 프리폼 미래 디스플레이 개발) 사물일체형 자유곡면/몰입형 구면 프리폼 디스플레이 패널 기술 및 프리폼 디스플레이를</t>
  </si>
  <si>
    <t>한국지질자원연구원연구운영비지원(R&amp;D)</t>
  </si>
  <si>
    <t>- (한국지질자원연구원연구운영비지원(R&amp;D)) - (기관운영비) 동 내역사업은 기관 R&amp;R 상위역할과 주요 임무 수행을 위한 인력 유지 및 관리에 필요한 인건비, 안정적 기관운영을 위한 경상경비를 지원하는 것임 - (주요사업비) 동 내역사업은 국내외 육상․해저 지질조사, 지하자원의 탐사․개발․활용, 기후변화 대응 원천기술 개발 및 성과확산을 통해 지속가능한 국가발전에 기여함으로써 국가 전략분야 원천기술 개발, 신성장 동력 발굴, 공공문제 해결 등 국가적 R&amp;D 수요를 충족하기 위한 연구비를 지원하는 것임</t>
  </si>
  <si>
    <t>한국철도기술연구원연구운영비지원(R&amp;D)</t>
  </si>
  <si>
    <t>- (초연결 사회 구현을 위한 초고속·대용량 철도교통 시스템 개발) 시속 1,000km/h 이상의 초고속 하이퍼튜브 핵심기술을 비롯하여 철도차량 성능향상‧물류‧국제철도 상호 운영성 강화 핵심기술의 개발을 통해, 초연결사회의 차세대 철도교통 시스템 구현 ․ 사람과 사물, 공간 사이를 실시간으로 연결하는 초연결사회의 실현을 위한 초 고속·대용량 철도교통 시스템 기술 선도 - (디지털 대전환을 통한 철도교통 효율화 및 이용편의 향상 기술 개발) 인공지능 및 디지털 전환 기반의 철도교통 시스템 구현을 통해, 운영 효율화 및 국민편익 향상 ․ 열차자율주행제어 핵심기술, 대용량 BRT 자율주행 시스템, 고속철도 운영 효율 화 플랫폼과 같은 디지털 철도교통 시스템의 개발을 통해 이용편익 제고 - (기후변화 대응을 위한 탄소중립 핵심기술 개발) 철도산업의 지속 가능한 발전을 위한 탄소중립 철도교통 시스템 기반 구축 ․ 친환경 수소철도‧전력효율 향상 핵심기술 등 탄소배출 및 에너지사용량 절감을 통한 철도운영 측면의 사회적 비용 최소화 - (철도 신산업 창출을 위한 국내외 협력 플랫폼 구축) AI 기반의 지능형 감지·대응 기술과 초연결 통신체계 구축을 통해 철도 사고 제로화 철도구현 ․ 철도 시스템 전반의 이상 징후를 실시간으로 감시하고 자동으로 대응할 수 있는 선제적 안전관리 체계의 고도화</t>
  </si>
  <si>
    <t>한국표준과학연구원 연구 운영비 지원(R&amp;D)</t>
  </si>
  <si>
    <t>□(세부사업) 한국표준과학연구원 연구운영비 지원(R&amp;D) - 국가표준기본법에 의한 국가측정표준 대표기관으로서 국가표준제도의 확립 및 관련된 연구개발을 수행하고, 성과를 보급함으로써 국가 경제 발전 및 국민 삶의 질 향상에 기여</t>
  </si>
  <si>
    <t>한국핵융합에너지연구원 연구 운영비지원(R&amp;D)</t>
  </si>
  <si>
    <t>- (한국핵융합에너지연구원 연구 운영비지원(R&amp;D)) 핵융합에너지 연구개발을 수행하 여국가경제의 발전과 국민의 삶의 질 향상 - (기관운영비) 기관 고유기능 수행 및 핵심역량 강화를 위한 연구·지원인력 인건비 및 경상경비 - (주요사업비) ①(KSTAR연구사업) KSTAR장치 및 설비의 안정적 운전·실험·유지보수·성능향상을 통한 국 내외 핵융합 연구 선도장치로 운영하고, 초전도 토카막 장치 및 설비의 개발, 운영기술의 축적을 통해 핵융합로 개발을 위한 기술자립 ②(핵융합실증로연구사업) 핵융합실증로 건설에 필요한 기반 기술·설계 기본개념 개발 및 고 성능클러스터 컴퓨터를 활용한 핵융합 시뮬레이션 기술개발 ③(플라즈마기술연구사업) 플라즈마 기술의 원천 연구 고도화를 통하여 플라즈마 기술 관련 국가전략산업의 기술한계 돌파 및 신시장 창출이 가능한 융복합기술 개발 ④(ITER핵심기술개발 및 운영·관리사업) ITER 핵심기술 추적·확보·개발, ITER 조달 품목 의 품질관리, ITER 설계 및 형상 관리, TBM(테스트 블랑켓 모듈) 핵심기술 개발 ⑤(전략연구사업-초미세공정용반도체장비개발사업) 정부 반도체 주력산업 혁신 추진으로 첨 단기술 초격차 확대를 위해 초미세(옹스트롬급, 2nm 이하) 세정공정용 표면처리 반도체 장비 개 발을통한 국산화, 부품 내재화 연구수행 ⑥(장비·시스템구입비) 주요사업 수행을 위한 연구장비 예산 통합 관리</t>
  </si>
  <si>
    <t>한국화학연구원연구운영비지원(R&amp;D)</t>
  </si>
  <si>
    <t>- (한국화학연구원 연구운영비 지원(R&amp;D)) 화학 및 관련 융‧복합 기술 분야의 원천 기술 개발 및 성과확산, 공공인프라 구축 및 대외지원을 통해 화학산업의 경쟁력 강화와 국가 신성장산업 창출에 기여하기 위한 사업 수행 · (친환경 화학공정 기술개발 사업) 온실가스 감축 및 에너지 절감형 화학원료 생산 등 친환경 화학공정 기술개발을 통해 산업경쟁력 강화와 삶의 질 향상 · (미래 신물질 융합화학 기술개발 사업) 신약 파이프라인 확보와 시장 선도형 질병 진단·치료제 후보물질 등 개발을 통해 국민 삶의 질 향상 · (화학기술 공공인프라 활용 산업지원사업) 4차 산업혁명 및 혁신성장과 사회·산업 수요 대응을 위한 화학 플랫폼 기술 개발 · (미래성장동력 창출 및 기업지원사업) 미래성장동력 창출 및 국가 화학산업 정책· 정보·전략 Think-tank로서의 역할 수행 · (장비구입비) 기관 고유임무 수행 및 기업 지원에 필요한 고가 연구 장비 신규 도입 및 노후 연구 장비 교체를 통해 성과 창출 기반 확대 · (차세대 모달리티 기반 난치질환 치료제 개발 사업) 난치성 질환(유방암 및 전립선암 등)의 치료율 향상을 위한 차세대 모달리티 기반 난치 질환 치료 후보물질 개발 · (자율 실험 시스템 기반 첨단 소재 신속 Scale-up 개발 사업) AI 기술 및 로봇 기반 자율화 실험실을 연동한 플랫폼 웹서비스 제공을 통해 소재 개발 주기의 획기적 단축 및 소재 AI 글로벌 리더십 확립 · (가속화 플랫폼 기반 항생제 내성균 대응 치료제 개발 사업) 항생제 내성 문제의 신속하고 효과적인 극복을 위한 기술 개발 플랫폼 구축 및 이를 활용한 항생제 후보물질 도출</t>
  </si>
  <si>
    <t>해양문화도시 기반의 에이지테크 실증거점 조성</t>
  </si>
  <si>
    <t>해킹바이러스대응체계고도화(정보화,출연)</t>
  </si>
  <si>
    <t>◦사이버 위협(악성코드, 보안취약점 등)을 능동적으로 탐지‧조치하고, 적극적인 침해사고 대응·복구 및 신종 보안위협 대응 강화를 통해 디지털 체계를 안전하게 보호 - (사이버공격 탐지·대응체계 운영) 24시간 365일 인터넷 이용환경 이상징후 상시 모니터링·탐지를 통한 사이버위협 탐지·분석 및 신속한 사고 대응·복구 지원 - (사이버위협 공유·협력체계 운영) 다양화·지능화되는 사이버위협에 선제적으로 대응하기 위한 사이버 위협정보 공유 및 국내외 공동대응 협력체계 확대 - (사이버공격 예방체계 운영) 사이버공격을 유발하는 보안 취약점을 사전 발굴·제거 하여 기업의 안전한 디지털전환 지원 및 국민들의 안전한 디지털 이용환경 조성 - (보안 취약점 클리닝 서비스 운영) 침해사고로 이어질 수 있는 취약 SW에 대한 신속 삭제 및 보안패치 배포․자동 적용하는 보안 취약점 클리닝 서비스 운영 - (사이버침해 사고조사 분석체계 강화) 대형화·고도화되는 침해사고 대비 대용량 디지털 증거 데이터를 신속하게 처리·분석할 수 있는 디지털 포렌식실 구축</t>
  </si>
  <si>
    <t>협업지능 피지컬AI 기반 SW플랫폼 연구개발 생태계 조성(R&amp;D)</t>
  </si>
  <si>
    <t>관세청</t>
  </si>
  <si>
    <t>관세행정정보관리(정보화)</t>
  </si>
  <si>
    <t>교육부</t>
  </si>
  <si>
    <t>4단계 두뇌한국21 사업</t>
  </si>
  <si>
    <t>◦4단계 두뇌한국21 - 기초‧핵심 학문분야 및 혁신성장 선도 분야의 연구역량 제고, 학문후속세대 양성 - 연구중심대학으로서의 대학원 교육 내실화 및 연구 환경 개선을 위한 대학원 체제 혁신 지원 ◦이공 우수인재 성장경로 지원 - 유망 이공계 학생을 조기 선발하여 학부-대학원-박사후까지 전 주기 성장경로를 국가가 책임지는 전략적 엘리트 육성 - 두뇌한국21·장려금 등 기존 제도와 연계하여 장학금 등을 지급하고 박사후 과정생 (연구생)에 대한 인센티브 제공 2024 2025 2026 예산 예산액 (추경) 예산 현액 집행액 이월액 불용액 예산액 (추경) 예산 현액 집행액 이월액불용액 ○기능별 분류(합계) 524,684 524,684 524,684 - - 522,478 (523,764)</t>
  </si>
  <si>
    <t>AI 디지털 유니버시티 혁신교육 플랫폼 구축(정보화)</t>
  </si>
  <si>
    <t>가상실험실습 학습콘텐츠 공유 플랫폼 구축(정보화)</t>
  </si>
  <si>
    <t>- (개요) 대학 및 기관 등에서 개별 서비스 중인 가상실험실습 학습콘텐츠를 한 곳에 모아 학습자와 교수자 간 학습서비스를 제공하는 공공 활용 플랫폼의 구축을 통해, 예산의 중복 투자를 방지하고 맞춤형 인재양성 및 전 국민 학습권·학습복지 향상 도모 ※ (플랫폼명) OpenVLab    (‘24년도) ISPžISMP 수립    (‘25년도) 플랫폼1차구축(‘25.6.~‘26.2.) ※ (가상실험실습 학습콘텐츠) 가상현실(VR), 증강현실(AR) 등 가상 환경에서의 몰입형·주도적 학습환경을 통해 기존 동영상 기반 실습수업의 한계를 극복하고 고위험, 고비용, 특수환경 실험·실습 수업을 보완 2024 2025 2026 예산 예산액 (추경) 예산 현액 집행액 이월액 불용액 예산액 (추경) 예산 현액 집행액 이월액불용액 ○기능별 분류(합계) 351 351 327 0 24 1,673</t>
  </si>
  <si>
    <t>국립대학육성사업</t>
  </si>
  <si>
    <t>- (거점국립대육성) 거점국립대를 5극 3특 성장엔진과 연계한 지산학연 협력기반 연구 대학으로 육성하여 국가균형성장을 뒷받침하는 핵심 융합 인재양성 - (일반국립대육성) 국가중심국립대와 교대는 지역에 더욱 밀착하는 특성화 대학으로 성장 하도록 지속 지원하여 국가균형발전에 기여하도록 유도 - (AI 거점대학) AI 단과대학·전공 등을 운영하여 AI/AI+X 분야 학사 및 석·박사급 인재를 체계적으로양성하고 지역의 AI 교육·연구 거점 역할을 수행할 수 있도록 지원</t>
  </si>
  <si>
    <t>대학생 AI 기본 교육 지원</t>
  </si>
  <si>
    <t>◦(대학 AI 기본 교육과정 개발 지원) 대학생들이 윤리적 AI 활용, AI 정보의 비판적 평가 역량, AI를 이용한 실질적 문제해결력을 갖추 수 있도록 기본 교육 지원 ◦(교원양성기관 교육과정 개발 지원) 초·중등 AI 교육의 핵심인 교원이 관련 역량을 함양할 수 있도록 교원양성기관 내 AI 교육과정 개발·지원</t>
  </si>
  <si>
    <t>대학정보공시 제도 운영(정보화)</t>
  </si>
  <si>
    <t>ㅇ(사업 목적) 「교육관련기관의 정보공개에 관한 특례법」및 동법 시행령에 따라 대학의 주요 정보 공시를 통해 국민의 알권리를 보장하고, 고등교육에 대한 참여 확대와 교육행정의 투명성 및 책무성 제고 ㅇ(추진 내용) - (공시정보조사 및 제도운영) 공시정보의 신뢰성 담보를 위한 현장점검 및 모니터링단 운영, 대학별 입력담당자 대상 대면연수 개최, 데이터 연계 기관 대상 예산지원, 학과 분류 위원회 운영 등을 지속 추진 - (통합시스템 운영) 대학정보공시 통합정보시스템 고도화 및 클라우드 전환을 위한 차세대 통합시스템 구축 및 기존 시스템 유지보수 등을 추진</t>
  </si>
  <si>
    <t>산학연협력 고도화 지원</t>
  </si>
  <si>
    <t>○첨단산업 인재양성 부트캠프 - 첨단산업 분야 취업을 희망하는 대학생을 대상으로 대학-기업이 공동으로 단기 집중교육 프로그램을개발·운영하고 인증 등 취업연계 지원 ○첨단산업 특성화대학 재정지원 - 반도체 등 첨단산업 경쟁력 확보 및 초격차 유지를 위해 첨단분야 전공운영, 교육 인프라 확보, 특화 교육과정 개발·운영 등을 지원하여 학사급 인력 공급 및 석·박사급 인재양성 기반 구축 ○첨단분야 인턴십 지원 - 첨단산업 인재양성 부트캠프 및 특성화대학 참여 학생을 대상으로 기업 인턴십 기회를 제공하여 학생들의 진로 탐색 및 취업연계를 지원하고 기업들의 수요에 맞춘 실무 인재 양성 ○첨단분야 글로벌 교육과정 운영 - 첨단산업 인재양성 부트캠프 및 특성화대학 참여 학생을 대상으로 국내·해외 대학이 공동으로 첨단분야 글로벌 교육과정을 기획·운영하여 첨단분야 기술 이해도 및 글로벌 역량 제고 ○반도체공동연구소 연합교육과정 - 권역별 반도체공동연구소 운영대학들의 대학별 특화 공정 교육체계와 연계해 반도체 전체 공정 과정을 실습·교육할 수 있도록 연합 교육과정 개발·운영 ○산학연협력 기반조성 및 성과확산 2024 2025 2026 예산 예산액 (추경) 예산 현액 집행액 이월액 불용액 예산액 (추경) 예산</t>
  </si>
  <si>
    <t>소프트웨어인재양성기반구축</t>
  </si>
  <si>
    <t>학생교육 교류 지원</t>
  </si>
  <si>
    <t>- (국비유학생선발파견) 국가발전에 필요한 전략분야 인재양성, 모든 학문분야의 균형 있는 발전 도모, 사회적 취약계층 국외유학 기회 제공을 위한 해외 석·박사과정 등 지원 - (한일교육교류협력사업) &lt;한일공동고등교육유학생교류사업&gt; 일본 학생들에게 한국 대학에서 석·박사과정, 학부 1년, 학부 단기(2~5주)의 수학 기회를 제공하여 양국 가교역할을 할 친한·지 한 인재 양성 &lt;한일청년인재양성&gt; 일본 학생을 초청하여 ①(전문)학사 학위과정 ②직업계고 학 생 단기 연수 실시 및 ③상대국 대학에서 1학기 교육과정 이수를 통해 양국 간 교육 교류 활성화 - (한국유학홍보) 해외한국유학 홍보를 통한 우수 외국인 유치 활성화 - (청소년 교류지원) 2024 2025 2026 예산 예산액 (추경) 예산 현액 집행액 이월액 불용액 예산액 (추경) 예산 현액 집행액 이월액불용액 ○기능별 분류(합계) 13,801</t>
  </si>
  <si>
    <t>한국장학재단 출연</t>
  </si>
  <si>
    <t>- (한국장학재단 출연) 한국장학재단을 통해학자금 대출제도를 효과적으로 운영하여경제적 여건과 관계없이 누구나 공부할 수 있는 여건 마련하고 재단 고유사업 및 운영비 지원 - (취업 후 상환 학자금 대출 채권이자) 대학(원)생 ICL공급을 위한 대출재원 조달을 위해 발행한 채권에 대한 이자비용 지원 - (일반상환학자금 대출 채권 이차보전) 조달채권과 대출의 금리차, 전환대출 이자지원 - (일반상환학자금 대출 추가지원) 일반상환학자금 대출자 이자면제, 특별상환유예 지원 - (학자금대출 손실보전금) 회수 불가능한 원금채권 손실 확정(상각)금에 대한 손실 보전 2024 2025 2026 예산 예산액 (추경) 예산 현액 집행액 이월액 불용액 예산액 (추경) 예산 현액 집행액 이월액불용액 ○기능별 분류(합계) 367,382 367,382 367,382 - - 407,913 407,913 407,913</t>
  </si>
  <si>
    <t>한국형 온라인 공개강좌 콘텐츠개발 및 활용 활성화</t>
  </si>
  <si>
    <t>국가데이터처</t>
  </si>
  <si>
    <t>통계DB통합및포털서비스(정보화)</t>
  </si>
  <si>
    <t>○(통계DB통합 및 포털서비스) 국가통계포털, 지표누리 등의 통계정보서비스의 원활한 제공을 위한 유지관리와 이용자 편의 제고를 위한 시스템 개선을 수행하며, 국민이 쉽게 통계데이터를 활용할 수 있도록 AI가 읽을 수 있는 형태로 통계메타데이터*를 구축하여 공개 * 통계의내용·구조를설명하는데이터로통계를이해하고분석하는데필수적인데이터의‘설명서’ - (통계정보포털시스템 운영) 국가통계포털, 지표누리 등의 통계정보포털시스템 유지관리·운영을 통해 이용자 중심의 원스톱 통계정보 서비스를 제공 - (통계정보포털시스템 개선) 국가통계포털, 지표누리 시스템 편의기능 개선 및 콘텐츠 확충과 동시에 AI 등 최신 ICT 기술을 접목한 통계서비스 구축을 통해 이용자 활용 편의성 증진 - (통계메타데이터 구축) AI가 통계데이터를 활용할 수 있도록 통계메타데이터를 구축 및 공개함으로써 공공데이터 기반의 AI 혁신 생태계 토대 마련</t>
  </si>
  <si>
    <t>통계교육지원</t>
  </si>
  <si>
    <t>ㅇ (통계교육지원) 국가데이터처, 통계작성기관 등 통계인력의 통계전문역량 향상 교육 및 미래세대 통계 소양 강화를 위한 학생 실용 통계교육 등 통계전문교육 실시 ※ ‘25년 교육훈련계획 기준 집합과정(99개, 157회), 이러닝과정(127개), 수시 과정 등 운영 - (교육과정운영) 국가데이터처 및 통계작성기관, 일반인 등을 위한 통계전문 및 통계소양 교육, 공무원의 기본역량 및 직무역량 향상 등을 위한 교육프로그램 개발 및 운영 - (이러닝교육) 디지털환경 일반화, 모바일 보편화로 학습자가 스마트기기를 활용하여 다양한 학습을 할 수 있도록 이러닝 컨텐츠 개선ㆍ개발 - (통계교육 활성화) 학생 실용 통계교육 강화를 위해 학생교육, 교사 통계연수, 통계 교육용 소프트웨어 보급, 통계교육 선도학교 등 운영 - (전산시스템) 통계교육관리시스템(LMS) 유지관리, 교육용 소프트웨어, 전산장비 등 교육용 장비 설치ㆍ운영</t>
  </si>
  <si>
    <t>통계데이터 분석 및 활용 지원(정보화)</t>
  </si>
  <si>
    <t>- (통계데이터 분석 및 활용 지원) 동 사업은 '데이터 기반 정책' 및 'AI시대 경제․사회 대전환'을 지원하고, 국민이 통계데이터를 보다 손쉽고 안전하게, 보다 많이 연계‧활용할 수 있도록 통계데이터 활용 활성화를 추진 - (통계데이터센터 운영) 동 내역사업은 이용자가 공공‧민간데이터를 안전하게 이용하고, 다양한 데이터의 연계‧분석이 가능하도록 서비스 지원 및 가명정보 결합 수행 - (데이터 융복합 관리체계 구축 및 운영) 동 내역사업은 효율적인 국가통계 작성을 위해 행정 자료를 활용할 수 있도록 지원하는 시스템으로 각종 행정자료를 연계·결합하여 통계모집단 구축·관리, 행정통계 생산 지원, 조사통계 검증 및 대체, 생활인구 작성 지원 등을 수행하여, 통계 생산의 정확성‧효율성을 제고하고 통계데이터 활용성을 향상 - (행정자료 통합관리) 동 내역사업은 행정자료 우선활용 제도(통계법) 이행 지원을 위한 시스템 개선․운영, 행정자료 입수‧정비, 행정DB‧통계등록부 구축 및 활용을 통한 행정자료 기반의 통계생산 지원 - (빅데이터 시스템 운영) 동 내역사업은 공공‧민간 빅데이터를 활용해 전통적 방식의 통계생산을 보완 및 대체하여, 시의성‧다양성을 갖춘 나우캐스트 속보성 지표, 민관데이터 가명결합 생활 인구 산출 등 각종 통계지표 서비스로 정부부처(지자체) 정책 수립을 지원 - (AI 기반 정보보호 신기술 프로그램 구축) 동 내역사업은 개인정보 유출의 위험성을 줄이고 분석 결과 유용성을 보장하기 위해 재현자료 생성 및 제공 시스템을 개발하고, 인공지능(AI) 기법인 LLM 기반 기술 등을 적용하여 집계 결과에 대한 비식별화를 통해 기술발전 지원 기반 마련 - (국가데이터 거버넌스 추진) 동 사업내역은 국가데이터처 승격에 따른 중장기 발전전략 및 방향성에 대한 연구용역을 추진하는 것으로, 국가데이터처의 미래발전 로드맵 및 중 장기 전략, 국가 차원의 범정부 데이터 거버넌스 설계</t>
  </si>
  <si>
    <t>통계센터 및 교육시설 운영</t>
  </si>
  <si>
    <t>- 국가데이터인재개발원등 국가데이터처 소속 3개 기관(통계인재개발원, 국가데이터연구원, 충청지 방데이터청)이입주하고 있는 통계센터의 임차료, 청사관리비 등 시설장비 유지를 위한 운영 경비필요 - 통계인재개발원에서 청사관련 예산 확보 및 집행 등 총괄행정을 담당 - 동 사업비에는 3개 기관의 임차료, 관리비, 건물․시설 유지보수비 등 제반 경비가 포함됨</t>
  </si>
  <si>
    <t>통계연구개발지원</t>
  </si>
  <si>
    <t>- 선진통계조사 기법 개발, 통계적 추론 방법 연구 개발 강화로 열악한 통계조사환경에 능 동적으로 대응하고, 증거기반 정책을 뒷받침하는 경제․사회․인구 등 다양한 통계분석 연구를 통해 정책 수요에 적극 대응</t>
  </si>
  <si>
    <t>국가유산청</t>
  </si>
  <si>
    <t>국가유산 지능형 첨단보존 기술개발(R&amp;D)</t>
  </si>
  <si>
    <t>- (국가유산 스마트 고도화 기술개발) 자동 진단·복원, 실시간 모니터링, 무인자율 탐사, 표준화를 통해 지능형 보존관리 체계를 구축하고 국가유산 보호의 디지털 전환 촉진 - (국가유산 디지털  보존영역 확대 및 표준화) AI 기반 분석·예측, 블록체인 인증, 디지털트윈 융합, 지능형 복원 우선순위 최적화로 체계적인 보존·관리 시스템 확립과 데이터 중심 지능형 관리체계 구축하여 국가유산 보호의 과학적 기반 강화 - (연구개발사업관리) 연구개발사업의 기획 관리 평가 등을 위한 사업관리 2024 2025 2026예 산안 예산액 (추경) 예산 현액 집행액 이월액 불용액 예산액 (추경) 예산 현액 집행액 이월 예상액 불용 예상액 ○기능별 분류(합계) 4,420 ․국가유산 스마트 고도화 기술개발</t>
  </si>
  <si>
    <t>국민권익위원회</t>
  </si>
  <si>
    <t>국민소통시스템 구축 및 운영(정보화)</t>
  </si>
  <si>
    <t>- 1,312개 기관이 공동 활용하는 국민신문고 등 범정부 국민권익 플랫폼 관련 서비스 개선 및 안정적 운영 지원 - (국민소통시스템 운영) 모든 행정기관(중앙·지방정부·교육청)과 주요 공공기관의 민원, 제안, 토론 및 각종 신고 등 소통창구를 통합·연계한 범정부 온라인 국민참여포털 ‘국민신문고’, ‘국민생각함’ 운영 및 기능개선 - (민원정보분석시스템 운영) 수집된 민원정보 등 국민의 소리를 종합적으로 분석하여 민원 발생에 선제적으로 대응하고 정책 수립 등에 활용하도록 하는 ‘민원정보분석 시스템’ 운영 및 데이터 이용가치 제고를 위한 데이터 개방·직접분석 활용체계 확대</t>
  </si>
  <si>
    <t>국방부</t>
  </si>
  <si>
    <t>AI응용제품 신속 상용화 지원사업(국방)</t>
  </si>
  <si>
    <t>- (추진배경) 인공지능 관련 글로벌 경쟁이 심화되는 가운데, AGI*(Artificial General Intelligence) 등 원천기술 개발만큼 인공지능전환(AX)과 적용이 매우 중요해진 상황 * AGI : 인간처럼 다양한 지적 작업을 이해하고 학습·수행 가능한 가상의 인공지능 2024 2025(2025.7월말) 2026 예산안 예산액 (추경) 예산 현액 집행액 [실집 행액] 이월액불용액본예산 예산 현액 집행액 [실집 행액] 전년도 이월액 제외 이월 예상액 불용 예상액 예산 현액 집행액 [실집</t>
  </si>
  <si>
    <t>국내외 전문 군사교육</t>
  </si>
  <si>
    <t>- (비학위) · 실무위탁교육 : 장교, 부사관 등 군 간부의 자질향상을 위한 국내 외부전문교육기관 교육과정비 지원 (법정필수교육 등) · 지휘참모대 : 장교 대상 국가별 무관요원과 지역전문가 양성 (1년~1년 6개월) · 병과교육: 장교· 부사관· 군무원의 병과별 군사교리와 군사지식·기술 교육 및 사관생도 파견(병과교육 : 평균 6개월, 사관학교 : 1년~ 4년) · 연수교육: 장교· 부사관· 군무원의 직무 관련 신기술·지식 습득 기회 부여(1 ~ 6개월) - (학위) · 국내대학 : 과학기술강군 육성을 위한 현역군인의 전문인력 양성 또는 직무능력 배양을 위한 국내 주·야간 학위과정비 지원(2~4년) · 전문대학 : 부사관의 자질향상을 위한 전문학사 과정비 지원(2년) · 사이버대학 : 격오지 근무, 잦은 근무지 이동 등 현역군인의 직업적 특성을 고려한과정비 지원(4년) · 해외대학 : 미래 국방환경 변화 및 정보화·과학화를 선도할 전문인력 양성(정책수립, 2024 2025(2025..7월말) 2026 본예산 예산액 (추경) 예산 현액 집행액 [실집 행액] 이월액불용액본예산 예산 현액 집행액 [실집 행액]</t>
  </si>
  <si>
    <t>국방ICT혁신기술</t>
  </si>
  <si>
    <t>- 군의 다양한 업무환경에 민간의 우수한 ICT(정보통신)분야 기술을 개발, 도입함으로써 AI를 비롯한 각종 ICT첨단기술을 기반으로 하는 강군으로 발전시키기 위한 R&amp;D사업 · (주요 기술적용 분야) 주로 전력지원체계를 대상으로 국방운영·작전지원 혁신, 정보통신 인프라 고도화 등에 필요한 AI, XR, 무선통신 등 ICT기술 · (추진 개념) 국방부는 무기체계를 위주로 기술 개발하는 방사청 R&amp;D와 달리 전력지원체계 또는 국방 전반에 적용 가능한 공통 기술을 주로 개발하며, 군수품 개량 중심의 민군기 술협력사업과 ICT기술을 개발하는 국방ICT R&amp;D사업으로 구분하여 R&amp;D를 추진 2024 2025(’25.7월말) 2026 예산 예산액 (추경) 예산 현액 집행액 [실집 행액] 이월액불용액 예산액 예산 현액 집행액 [실집 행액] 전년도 이월액 제외 이월 예상액 불용</t>
  </si>
  <si>
    <t>민군기술협력(R&amp;D)(국방부)</t>
  </si>
  <si>
    <t>- (민군기술협력(R&amp;D)) 군(軍)과 민(民)이 공통으로 사용할 수 있는 제품을 개발하 여 군수품의 질(質) 향상과 민간 산업 활성화를 통해 상생 도모 - (부처연계협력(R&amp;D)) 군사 부문과 비군사 부문 간의 기술협력이 강화될 수 있도 록 관련 기술에 대한 연구개발을 촉진하고 규격을 표준화하며, 상호간 기술이전 을 확대함으로써 산업경쟁력과 국방력 강화</t>
  </si>
  <si>
    <t>전투발전연구</t>
  </si>
  <si>
    <t>정보체계개발유지(정보화)</t>
  </si>
  <si>
    <t>- 국방업무 전반에 대한 응용체계 개발과 성능개선 및 유지보수로 국방자원관리의 효율성을 제고하고, 효과적․적시적인 의사결정 지원 &lt; 사업내용&gt; ◦ 개념연구 : 사업의 규모, 소요예산, 추진일정, 획득대안 등 정보체계 개발을 위한 정보화전략계획(ISP)을 수립하는 사업 ◦ 체계개발 : 자원관리 및 M&amp;S 응용 체계를 신규 개발 또는 고도화하는 사업 ◦ 자원관리정보체계 유지보수 : 개발이 완료된 자원관리 및 진화적 성능개선 사업 ◦ 상용SW 도입 : 전군이 공통으로 사용하는 상용SW 라이선스 도입, 보안강화를 위한 상용SW 구매 등 ◦ 전장관리정보체계 유지보수 : 전장관리정보체계 S/W 및 H/W 유지보수 및 진화적 성능개선 사업 ◦ M&amp;S체계 유지보수 : M&amp;S 체계의 응용 S/W에 대한 유지보수 및 진화적 성능개선 사업 2024 2025(’25.7월말) 2026 예산 예산액 (추경) 예산 현액 집행액 [실집 행액] 이월액불용액 예산액 예산 현액 집행액 [실집 행액] 전년도 이월액 제외</t>
  </si>
  <si>
    <t>정보통신기반체계구축(정보화)</t>
  </si>
  <si>
    <t>- (정보통신기반체계구축) 국방 지능정보화를 통한 과학기술강군 육성의 핵심 인프라로서 정보통신 기반환경을 구축, 개선, 운영하는 사업 - (주전산기) 각 군/국직기관의 정보체계의 안정적 운영을 위한 주전산기 (서버) 교 체 및 운영유지를 지원하는 사업 - (PC/프린터) 국방정보체계 활용 및 사무자동화를 위한 노후PC 교체 및 신규보급하는 사 업 - (WAN/LAN) 국방광대역통합망 사업에 포함되지 않은, 부대 간 정보통신망 (WAN)과 부대 내 정보통신망(LAN) 구축 관련 장비의 교체·유지·관리하는 사업 - (기타장비) 각 군 기관의 특정 기능 수행을 지원하는 체계 구축 및 운영하는 사 업 - (브리핑/화상회의) 각종 회의, 보고, 교육을 지원하기 위한 브리핑시스템 구축과 부대의 긴급상황을 신속·정확하게 공유하고 각종 출장 회의를 대체하기 위한 화상 회의시스템을 구축하는 사업 - (사이버지식정보방) 병사의 군 복무 간 정보화 단절 및 정보격차 해소를 위해 대 학 등의 인터넷 강좌 수강과 사이버학습 등이 가능한 인터넷 PC를 전국 군 부대 에 구축․운영하는 사업 - (교환기) IT 발전 추세에 따라 노후화된 아날로그 음성교환망을 음성·데이터 통신 이 통합된 디지털(VoIP) 전화교환망으로 전환하고, 기존 노후 VoIP 교환기를 교체하는 사업 - (국방M&amp;S체계장비) 합동/연합 연습, 각 군의 모의연습훈련에 필요한 국방 M&amp;S 체계 구축(교체) 및 운영 유지보수하는 사업</t>
  </si>
  <si>
    <t>국세청</t>
  </si>
  <si>
    <t>국세정보분석시스템 운영(정보화)</t>
  </si>
  <si>
    <t>국세행정지원시스템 운영(정보화)</t>
  </si>
  <si>
    <t>○(국세행정지원시스템 운영(정보화)) 국세상담, e-민원 등 대민서비스와 각종 세원관리 시스템을 안정적으로 운영‧관리하고, 업무용 전산장비 도입, 우편물자동화센터, 정보화센터, 국세통신망 유지‧관리 등 국세행정 정보화 지원 ○내역사업별 설명 - (국세상담시스템 운영) 납세자에게 안정적인 상담서비스를 제공하기 위한 시스템 운영‧관리 - (사이버교육시스템 운영) 내부직원의 직무능력 향상을 위한 온라인 교육시스템의 운영‧유지보수 및 온라인 강의 콘텐츠의 제작 및 관리 - (e-민원시스템 운영) 민원인이 내방시간과 세무서를 선택할 수 있도록 전국 세무서의 민원실 대기인원과 예상대기시간을 실시간으로 조회할 수 있는 서비스를 홈택스와 모바일홈택스를 통해 제공하고, 민원인이 직원의 도움없이 전자적으로 민원신청서를 작성하여 대기시간과 처리시간을 단축할 수 있도록 지원하는 시스템 - (세무정보안내 공공요금) 영세 사업자와 근로자 등 납세자를 대상으로 각종 세무정보의 신속‧정확한 전달과 다양한 근로장려금 신청 방법 제공, 소득세 및 부가세 ARS 신고 서비스를 제공하는데 소요되는 예산의 지원 - (해외금융정보교환분석시스템 운영) 국가간 금융정보 및 금융보고서의 자동교환 협정에 따른 금융정보 교환의 효율적·안정적 이행을 위한 시스템의 운영·유지보수 - (국제거래통합분석시스템 운영) 내부직원의 국제거래 분석역량 강화를 위해 개발된 시스템으로, 국제거래에 대한 세원관리‧분석의 차질 없는 수행을 지원 - (자료관리시스템 운영) 밀알정보·탈세제보·차명계좌 등 세원정보 자료를 체계적으로 수집·관리하고, 이를 활용한 분석업무를 효율적으로 지원하기 위한 관련 시스템 운영 - (주류유통정보시스템 운영) RFID를 주류 유통관리에 접목하여 무자료 주류와 가짜 양주 등 주류불법거래 차단 및 숨은세원을 양성화하기 위한 전산시스템 운영 - (포렌식 장비 운영) 기업의 전산자료를 확보 및 분석하여 지능적 첨단 탈세행위에 대응하는 등 과학적 세무조사 및 세정업무 지원 시스템의 안정적 운영‧유지 - (정보보안시스템 운영) 신종 보안위협으로부터 국가 재정수입의 기반인 국세행정 시스템과 납세자 개인정보를 보호하기 위한 각종 보안시스템의 운영 및 신규도입 - (업무용 전산장비 도입) 내용연수가 도래한 PC, 프린터 등 노후장비를 신규 장비로 교체하고 업무용 전산장비에 대한 일원화된 유지보수체계 구축 - (네트워크 통합 운영) 대한민국 전자세정의 기반인 국세통신망을 안정적으로 운영하고 국민과 직원이 만족할 수 있는 통신 서비스 제공 및 원거리회선 통신요금 확보</t>
  </si>
  <si>
    <t>엔티스 전산시스템 운영(정보화)</t>
  </si>
  <si>
    <t>- (엔티스 전산시스템 운영(정보화)) - (엔티스 운영 및 유지관리) 국세청 핵심 시스템인 엔티스 운영ㆍ유지관리와 법령개정, 제도개선 사항을 반영한 기능개선, 재난ㆍ재해 발생 대비 데이터 실시간 복제 기능 수행, 24시간 365일 상시 배치프로그램 관제 등 - (엔티스 증설 및 서비스 개선) 대국민 납세서비스 및 대내 국세행정업무를 안정적으로 운영하기 위한엔티스(모바일 안내문 발송사업에서 도입한 HW·SW) 증설 임차료, 엔티스 시스템 개선사항 및 서비스에 대한 안내·홍보 등 제공 2024 2025 2026 예산 예산액 (추경) 예산 현액 집행액이월액불용액예산액 (추경) 예산 현액 집행액이월액불용액 ○기능별 분류(합계) 47,915 47,915 42,546 - 5,369 45,412 45,612 45,317 -</t>
  </si>
  <si>
    <t>국토교통부</t>
  </si>
  <si>
    <t>AIXR기반비행장원격관제운용기술개발(R&amp;D)</t>
  </si>
  <si>
    <t>- (다중 비행장 원격통합관제 운용기술 개발) 인공지능(AI), 확장현실(XR) 등 첨단 기술을 활용하여 관제사 상황인식 능력을 향상시켜 육안관제 한계를 대응하고, 교통량이 적은 지방 및 도서지 소형공항, UAM 버티포트 등의 관제탑 구축/운용 비용절감 및 관제사 업무 효율화 실현을 위한 다중 비행장 원격통합관제 운용기술 개발 2024 2025(2025.12월말 기준) 2026 예산 예산액 (추경) 예산 현액 집행액 [실집 행액] 이월액불용액본예산 예산 현액 집행액 [실집 행액] 전년도 이월액 제외 이월 예상액 불용 예상액 예산 현액 집행액</t>
  </si>
  <si>
    <t>AI데이터중심의화물차운송안전향상기술개발(R&amp;D)</t>
  </si>
  <si>
    <t>- (AI 데이터 중심의 화물차 운송 안전 향상기술 개발) 화물차 과적·적재 불량 문제 해결을 위한 다차로 80kph 이상 고속 주행 환경에서 AI 기술을 활용한 과적/적재 불량 인지율 95% 이상의 단속 시스템(검지-단속-관리) 개발 · 고속 주행 중인 화물차량에 대한 중량 검지기술 및 과적여부 판별 알고리즘 개발 · 과적 및 적재불량 의심 화물차량에 대한 선별 및 단속 플랫폼 · 화물차 적재형상 분석 및 낙하물 발생 유무 판별 기술 개발 등</t>
  </si>
  <si>
    <t>AI모빌리티 시범도시 조성</t>
  </si>
  <si>
    <t>- (자율주행 실증도시) 대도시 단위의 자율차 실증환경을 조성하고, 대규모 주행 데이터 수집 체계 구축을 통한 차세대 모빌리티 생태계를 조성하려는 것임 · (차량 구매·개조) Lv.4 자율주행 실증을 위한 고성능 센서(LiDAR, 카메라 등) 및GPU를 탑재한 자율주행차 구매·개조 지원(200대 기준) · (데이터 수집·가공) 대규모 주행데이터를 실시간 수집하고, AI 학습을 위한 비식별화· 라벨링 등 데이터 가공(엣지케이스 중심) 및 데이터 검증을 위한 협의체 운영 · (보험료 및 보험제도 연구) 자율주행차 전용 보험 가입지원, 레벨4 무인자율차 사고 시 책임소재 규명 및 보험 상품 고도화를 위한 법·제도 가이드라인 마련 · (국제협력) 해외 정부·업계 협력 기반을 구축, 국제협력 회의 등을 통한 기술·정책 교류 · (정밀도로지도 구축) 실증 도시지역에 자율차 대상으로 정밀도로지도 구축 · (안전운행·상용화 지원) 자율차 실증 중 비상상황 등 문제 발생 시 자율차를 원격 지원·제어를 위한 원격관제 구축, 서비스 상용화를 위한 교통·도시·서비스 관제 지원 - (자율주행 ai 학습센터) 자율주행차 전용 AI 학습센터를 조성하고, GPU 조기 확보· 지원을 통한 자율주행 기술개발 강화 · 자율주행 AI 학습센터 조성을 위한 정보화사업 ISP 등 기본·실시설계 용역 추진(‘26년)</t>
  </si>
  <si>
    <t>AI응용제품 신속상용화 지원사업(국토·교통)</t>
  </si>
  <si>
    <t>- 정부 10개 부처 합동으로 산학연 역량을 집결하여, 국내 기업의 AI 응용제품 사업화 기간을 단축시키고 1~2년 내 성과 도출이가능한 제품․서비스 상용화 지원</t>
  </si>
  <si>
    <t>AI진단기반항공기로봇검사및정비기술개발(R&amp;D)</t>
  </si>
  <si>
    <t>건물에너지소비데이터통합관리기반구축(R&amp;D)</t>
  </si>
  <si>
    <t>- (건물에너지 소비 데이터 통합관리 기반 구축) 건물부문 2050 탄소중립 이행을 위한 증거기반 건물에너지 성능평가 핵심기술개발 및 유관데이터 통합 관리 체계 실증 · 건물에너지 소비 데이터 통합 시스템 프레임워크 개발 · 건물에너지 소비특성 및 소비수준 평가기술 개발 · 건물에너지 소비 데이터 통합 시스템 프로토타입 시범 운영 및 확산방안 마련</t>
  </si>
  <si>
    <t>건설 전주기 안전혁신 기술개발 사업(R&amp;D)</t>
  </si>
  <si>
    <t>- (건설전주기안전혁신기술개발사업) SOC 시설물의 건설공정 안전관리를 통한 사고 예방 및 효율적 유지관리 기반 노후 시설물 안전성 확보 기술개발 ․(선제적건설공정안전관리) 높은 안전성능을 갖는 SOC 시설물을 사고 없이 건설하기 위한 선제적 안전 설계 및 시공 기술 개발 ․(효율적시설물안전관리) SOC 시설물을 안전하고 오래 사용하기 위한 효율적 유지 관리 기술 개발</t>
  </si>
  <si>
    <t>건설산업정보시스템구축및운영(정보화)</t>
  </si>
  <si>
    <t>- (건설산업종합정보망) 건설업체 및 건설공사 정보 등을 종합 관리하여, 불법․불 공정 행위 상시점검체계를 구축하고 대국민 및 관계기관에 필요한 정보를 제공함 으로써 건설산업의 건전성 및 투명성 제고 - (토석정보공유시스템) 건설공사 현장에서 발생하는 순성토(부족한 흙)․사토(버리는 흙) 정보를 공유하고 재활용함으로써, 불필요한 환경훼손을 방지하고 국가 예산 절감에 기여</t>
  </si>
  <si>
    <t>건축정보시스템구축및운영(정보화)</t>
  </si>
  <si>
    <t>- (건축행정시스템(세움터) 운영) 클라우드 기반의 건축행정시스템(세움터) 운영 및 유지 관리, 콜센터 운영관리, 300여 개 시스템 연계, 자료 제공, 신규 기능 개선 등 - (건축물 생애이력 관리시스템 개발 및 운영) ｢건축물관리법령｣등에 따라 건축물을 효과적으로 유지관리하기 위하여 건축물 생애이력 관리시스템을 구축·운영 중이며, 시스템의 신규 기능개발 및 DB구축, 법·제도 개정 및 사용자 요구사항 등에 따른 프 로그램 개선 및 유지보수, 도입된 H/W 및 상용 S/W에 대한 안정적인 유지관리 등 수행 - (건축서비스산업 정보체계 구축 및 운영관리) 정부, 민간/산업, 국민을 위한 건축서비스 산업 통합 플랫폼인 ‘건축HUB’를 통해 건축서비스산업 관련 정보 및 자료 등을 체계적으로 수집･관리하고 인공지능 및 빅데이터 기반 서비스 제공</t>
  </si>
  <si>
    <t>공간지식추론엔진기술개발(R&amp;D)</t>
  </si>
  <si>
    <t>- (공간 지식추론 엔진 기술개발) 공공 정보시스템 고도화, 민간의 혁신적인 스타트업 육성 기반을 마련하기 위해 공간정보에 특화된 공간 지식추론 엔진(공간정보AI*) 기술개발을 지원하는 것임 * 공간검색, 공간분석, 공간묻고·답하기등에특화된인공지능엔진으로챗GPT가대답하지못하는공간영역의 전문지식을학습해대화를통한질의-응답을지원하는기술 ‧ (공간정보 AI 프레임워크 구현) 공간토픽 모델링, 로직 프로세서, DB 시스템 구현 등 그래프 DB 시스템 기반 공간 인공지능 시스템의 기본 프레임워크 개발 ‧ (공간 빅데이터 융합 기술) 공간정보AI 연동형 대규모 공간·속성 데이터 수집, 구축, 분석, 2024 2025(2025.12월말) 2026 예산 예산액 (추경) 예산 현액 집행액 [실집 행액] 이월액불용액본예산 예산 현액 집행액 [실집 행액] 전년도 이월액 제외 이월 예상액 불용 예상액</t>
  </si>
  <si>
    <t>공동주택건설 생산성 혁신을 위한 다용도-건설작업 로봇설계 및 통합관리기술개발(R&amp;D)</t>
  </si>
  <si>
    <t>- (목적) 공동주택 건설에 최적화된 다용도-건설작업로봇 설계·운용 기술개발 및 실증을 통한 산업화 기반 마련 _x0001_ _x0001_ _x0001_ _x0001_ _x0001_ _x0001_ *_x0001_ (목표)_x0001_ 공동주택_x0001_ 공기단축_x0001_ 6%,_x0001_ 로봇-인력_x0001_ 대체율_x0001_ 10%,_x0001_ 현장_x0001_ 안전사고_x0001_ 감소율_x0001_ 15% - (내용) 공동주택 건설생산성 혁신을 위한 다용도-건설작업로봇 설계 및 통합관리 기술 개발 • 공동주택 최적화 다용도-건설작업로봇 개발 및 실증 • AI 기반 공동주택 다용도-건설작업로봇 통합관리기술 개발 • 공동주택 최적화 다용도-건설작업로봇 설계-개발 플랫폼 및 현장 구축 기술 개발 • 산업화를 위한 제도기반 마련</t>
  </si>
  <si>
    <t>공항조류탐지및한국형조류관리핵심기술개발(R&amp;D)</t>
  </si>
  <si>
    <t>- (내역사업명) 공항 조류 탐지 및 한국형 조류관리 핵심기술 개발(R&amp;D) * (사업목적) 공항에 유입되는 조류를 실시간으로 탐지하고, 선제적 예측 및 분석 기술을 확보하여 항공기의 안전한 운항을 구현할 수 있는 한국형 조류충돌 위험 탐지․예방 시스템 개발 * (기간/총사업비) ’26∼‘29년(45개월), 총 283억(국비 283억, 민간 미정) * (사업 세부내용) 한국형 공항 조류 탐지 및 충돌 위험 조기 경보 체계 구축을 통한 사전 예측 및 사후 분석 안전관리 기술 개발 ㅇ (중점기술 1) 한국형 조류충돌 위험 탐지·예방 시스템 운용기술 개발 ㅇ (중점기술 2) 공항 주변 조류 정보 생성·처리 시스템 개발 ㅇ (중점기술 3) 데이터 기반 조류 충돌 위험도 평가·대응 시스템 개발</t>
  </si>
  <si>
    <t>과적단속 효율화를 위한 화물차중량정보 플랫폼 구축 및 실증기술개발사업(R&amp;D)</t>
  </si>
  <si>
    <t>광역단위노후건축물디지털안전워치기술개발(R&amp;D)</t>
  </si>
  <si>
    <t>교통사고유발도로노면위험요소저감기술개발(R&amp;D)</t>
  </si>
  <si>
    <t>국토교통DNA플러스융합기술대학원육성사업(R&amp;D)</t>
  </si>
  <si>
    <t>- (국토교통 DNA플러스 융합기술대학원 육성) 미래산업 핵심기술인 DATA, NETWORK, AI를 국토교통 신산업과 연계한 기술개발 지원을 통한 대학의 혁신역 량 향상 및 융ㆍ복합 전문인력 양성 2024 2025(2025.12월말 기준) 2026 예산 예산액 (추경) 예산 현액 집행액 [실집 행액] 이월액불용액본예산 예산 현액 집행액 [실집 행액] 전년도 이월액 제외 이월 예상액 불용 예상액 예산 현액</t>
  </si>
  <si>
    <t>국토이용정보체계구축및운영(정보화)</t>
  </si>
  <si>
    <t>ㅇ 국토이용정보체계는 법령*에 따른 지역·지구등토지이용규제, 행위제한내용을 등재·관리하고, 민원서류 발급및 대국민 정보제공을 위한 정보체계**를 총칭 * (근거법령) 「토지이용규제기본법」, 「국토계획법」, 「국토기본법」, 「지역지구등의 작성 지침」 등 ** (구성) KLIP(국토이용정보 통합플랫폼), UPIS(도시계획정보체계), 토지이음(토지이용규제정보시스템), IPSS(통합인허가지원시스템), UPSS(도시계획현황통계) 등 *** 토지이용계획확인서 등 국민 재산권과 관련된 부동산 거래, 토지 감정평가, 인허가 등에 활용 - (국토이용정보 통합플랫폼 구축) 분산 운영·관리되는 국토이용정보 행정업무 프로 세스･정보체계를 일원화하고, 최신기술(클라우드) 도입으로 예산절감, 유지보수 효율화 * ｢토지이용규제 기본법｣ 제10조(토지이용계획확인서의 발급 등)에 따른 ‘토지이용계획확인서’를 플랫폼 內 데이터를 활용하여 정부24, 부동산종합공부시스템, 지자체 민원창구 등에서 국민에게 발급 ** 지자체 도입 현황 합계 `20년 `21년 `22년 `23년 `24년 `25년 `26년 `27년(예정) 229 4 49 40 41 35 26 26 8 (단위: 지자체 수(개))</t>
  </si>
  <si>
    <t>국토지형관리(정보화)</t>
  </si>
  <si>
    <t>- (국토지형관리(정보화)) 국토공간정보시스템 운영 및 디지털트윈 핵심데이터인 공간 정보를 빠르고 정확하게 구축하여 국민이 활용할 수 있도록 전국 3차원 공간정보 제공 - (국토공간정보시스템) 국토지리정보원에서 생산되는 우리나라 지도 및 국가 기본 공간정보(기본측량성과 등)을 관리하는 국토공간정보시스템 구축, 운영 및 유지보수 - (3차원 공간정보(수치표고모형) 구축) 디지털 트윈국토의 필수 기초자료인 3차원 공간정보(수치표고모형)의 품질 및 최신성 확보를 위해 지속적으로 구축하고, AI 등 최신기술을 활용한 자동 구축기술 개발 등 관련 연구 추진 - (실내공간정보 구축) 도시의 집적화로 복잡화·대형화되는 실내 공간에서의 국민생활 안전, 복지 증진 및 재난·안전 관리 등을 위한 실내공간정보 구축</t>
  </si>
  <si>
    <t>대심도장대터널(GTX등)의재난대응복합훈련장개발(R&amp;D)</t>
  </si>
  <si>
    <t>- (대심도 장대터널(GTX 등)의 재난대응 복합훈련장 개발) GTX 등 철도 대심도 지하시설에서 발생할 수 있는 고위험 재난에 대한 진단·대응 기술을 개발하여 철도 이용자의 안전 확보 · GTX 등 대심도 철도시설(복합역사 및 장대터널)에서 고위험 재난 발생시 이용자 대피 및 보호를 위한 재난 인지·예측·대응 기술 개발 및 실증 * 화재발생시 호흡이 가능한 안전지역 대피시간 3분 이내, 재난 인지․분석 정확도 90% 이상, 인명피해 저감율 30% 이상 달성 등</t>
  </si>
  <si>
    <t>데이터기반철도시스템안전평가예측기술개발(R&amp;D)</t>
  </si>
  <si>
    <t>- (데이터 기반 철도시스템 안전 평가·예측 기술 개발) 사고전조 데이터 기반 철도 시스템 안전 평가·예측 기술 개발을 통해 예방형 철도안전관리 체계 구현 2024 2025(2025.12월말 기준) 2026 예산 예산액 (추경) 예산 현액 집행액 [실집 행액] 이월액불용액본예산 예산 현액 집행액 [실집 행액] 전년도 이월액 제외 이월 예상액 불용 예상액 예산 현액 집행액 [실집 행액]</t>
  </si>
  <si>
    <t>디지털기반건축시공및안전감리기술개발(R&amp;D)</t>
  </si>
  <si>
    <t>디지털도로기반 클라우드형 AI-ITS센터플랫폼 운영관리 기술개발사업(R&amp;D)</t>
  </si>
  <si>
    <t>디지털트윈국토정보보안기술개발(R&amp;D)</t>
  </si>
  <si>
    <t>- (디지털 트윈국토정보 보안기술 개발) 「국가공간정보 보안관리 규정」에 따라 공개가 제한된3차원 등 고정밀 공간정보의 민간 활용을 지원하는 공간정보 보안기술 개발 ∙공개 제한 공간정보*(3차원 건물 및 지형 등)를 암호화 처리하고 암호화된 공간 정보에 대한 관리 체계 등 디지털 트윈국토정보 데이터 보안기술 개발 * 국가안보 위협을 고려하여 민간의 공개가 제한되나 ICT 산업에 필요한 핵심 정보 ∙암호화 기술이 적용된 공개 제한 공간정보 데이터를 디지털 트윈 국토 플랫폼 (K-GeoP, 브이월드)등에서 활용할 수 있는 지원기술 개발 ∙국가 주도로 생산되는 3차원 등 고정밀 공간정보가 AI, 스마트시티, 디지털트윈 등 신산업에서 안전하게 이용될 수 있도록 신속한 기술개발 시급</t>
  </si>
  <si>
    <t>디지털트윈기반GTX환승안전및혁신기술개발사업(R&amp;D)</t>
  </si>
  <si>
    <t>무안공항 차세대 전력망 구축</t>
  </si>
  <si>
    <t>빅데이터기반인공지능도시계획기술개발(R&amp;D)</t>
  </si>
  <si>
    <t>- (빅데이터 기반 인공지능 도시계획 기술개발)미래 사회변화에 대응하기 위해 빅데이터 기반의 과학적이고 객관적인 인공지능 도시계획(기본 및 관리계획) 기술개발 · 인공지능 활용을 위한 빅데이터 기반의 도시 진단지표확대 · 도시계획 수립지원을 위한 빅데이터, AI알고리즘, 활용서비스 등이 탑재된 플랫폼 개발 · 도시계획 혁신 프레임워크 개발, 진단-계획 모니터링체계 및 실증 2024 2025(2025.12월말 기준) 2026 예산 예산액 (추경) 예산 현액 집행액 [실집 행액] 이월액불용액본예산 예산 현액 집행액 [실집 행액] 전년도 이월액 제외 이월 예상액 불용 예상액 예산 현액</t>
  </si>
  <si>
    <t>빅데이터기반철도네트워크설계및운영기술개발(R&amp;D)</t>
  </si>
  <si>
    <t>스마트 빌딩핵심기술개발(R&amp;D)</t>
  </si>
  <si>
    <t>- (스마트+빌딩 핵심기술개발) 인간과 로봇이 공존하는 건축 공간 구현을 위해 인간 및 다수·다종 로봇의 최적 이동과 서비스를 지원하는 로봇 친화형 건축물 설계･시공 기술 및 개방형 운영·관리 플랫폼 개발·실증 · 인간-로봇 친화형 건축물 공간과 시설에 대한 설계 및 시공 기술 개발 · 다수·다종 로봇 지원 시스템 및 건축물 운영·관리 기술 개발 · 인간-로봇 친화형 건축물 설계･시공, 운영·관리 기술 적용 실증 및 제도 개발</t>
  </si>
  <si>
    <t>스마트시티인프라AIoT핵심기술개발(R&amp;D)</t>
  </si>
  <si>
    <t>- (스마트시티 인프라 AIoT 핵심 기술개발) 다양한 도시데이터의 실시간 분석·처리를 위한 인 공지능 및 사물인터넷 기반의 스마트시티 AIoT(AI+IoT) 핵심기술* 확보 및 지자체 실증** * Massive IoT(센서) + AI(인공지능) + Network(통신) = 스마트시티 AIoT 인프라 ** 통합 실증을 통한 기술 상용화 및 제품화 등 시장성 사례 확보 2024 2025(2025.12월말 기준) 2026 예산 예산액 (추경) 예산 현액 집행액 [실집 행액] 이월액불용액본예산 예산 현액 집행액 [실집 행액] 전년도 이월액 제외 이월 예상액 불용 예상액 예산 현액 집행액</t>
  </si>
  <si>
    <t>스마트시티확산사업</t>
  </si>
  <si>
    <t>ㅇ (혁신기술발굴 규제샌드박스) 각종 규제로 인하여 기술개발·실증이 곤란한 스마트 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ㅇ (스마트시티 국내외 확산지원) 스마트시티 사업을 통해 나타나는 우수성과를 발굴하고, 기업·지자체 등 공유 및 홍보를 통해 대국민 인지도 제고 및 미래 연계사업으로 확산 ㅇ (국가시범도시 관련 내역사업) 세종·부산에 세계적 수준의 스마트시티 국가시범도시를 조성해 4차 산업혁명 융복합 신기술 테스트베드, 도시 문제해결·삶의 질 제고, 혁신 산업생태계 조성을 균형있게 추진 - (AI·데이터허브 구축지원) 도심 핵심데이터(IoT 센서, 공공데이터 등)를 수집·저장 하고, AI 기반으로 빅데이터 분석이 가능한 도시운영 플랫폼 구성 - (스마트 IoT 구축지원) 대량의 도시 데이터를 수집·저장하고, 이를 기반으로 다양한 연계 서비스를 제공할 수 있도록 IoT 네트워크 및 센서 구축 - (사이버 보안 구축지원) 개인정보 등 데이터, 네트워크 연계로 인해 취약점이 발생 할 수 있음을 고려, 이에 대응하기 위한 사이버 보안 체계 구축 - (디지털 트윈 구축지원) 가상도시모델 구현으로 데이터 중심의 정책 수립, 재난· 안전관리 등 도시운영 모니터링 및 의사결정을 위한 시뮬레이션 서비스 구축 - (교통 혁신기술 도입지원) MaaS 앱 중심으로 공유 교통수단(퍼스널 모빌리티, 차량 공유 등), 자율주행 등 다양한 모빌리티 서비스 연계 제공 추진 - (에너지 혁신기술 도입지원) 친환경 에너지 발전시설(부산), 교통수단의 융·복합 충전 인프라 등 구축 지원 - (생활 혁신기술 도입지원) 시범도시 내 모든 스마트서비스 효율적인 접근·이용 제공 및 공공·민간 데이터 융·복합 서비스 구현을 위한 One ID기반의 Citizen통합App 구축 - (로봇 혁신기술 도입지원) 로봇친화형 건축 및 도시공간 설계에 맞춰 로봇서비스 도입에 따른 플랫폼 구축, 도시 활용 App 개발 추진 - (헬스케어 도입지원) 질병 예방 및 건강증진을 위한 개인맞춤형 건강관리 서비스와 고위험군·만성질환 환자들을 대상으로 체계적인 관리 서비스를 제공 추진</t>
  </si>
  <si>
    <t>스마트철도물류혁신기술개발(R&amp;D)</t>
  </si>
  <si>
    <t>운전자페달오조작방지및평가기술개발(R&amp;D)</t>
  </si>
  <si>
    <t>자율자동차 상용화</t>
  </si>
  <si>
    <t>- (테스트베드 고도화) 자율주행 테스트베드(K-City) 내에 레벨4 자율차시험․평가 환경 및 연구개발 지원시설을 운영·유지보수, 민간지원등 - (자동차 보안지원 및 대응체계 운영) 「자동차관리법」제30조의9(’24.2 개정)에 따른 사이버보안 인증심사업무 수행을 위한 인프라(센터, 전산 등) 운영·유지보수, 민간지원 등 - (주행데이터 공유센터) 민간의 자율주행데이터 공유 및 협력 촉진을 위해 주행데이터 수집용 차량 제작, AI학습용 데이터 가공‧공유 등 - (자율차 경진대회) 대학생 자율차 경진대회를 개최하고, 참가자들에게 이론ㆍ실습 교육프로그램을 제공함으로써 자율주행 관련 전문인력 저변을 확대하려는 것임 - (상용화 정책연구) 자율주행차 융복합 미래포럼에서의 전문가간담회 및 심층연구를 통해자율차 관련 주요 시사점을 발굴하고, 자율주행 AI 인프라 구축 관련 연구 수행 - (자율차 사고조사위원회 운영) 자율차 사고조사, 사고 유형별 조사 차등화 체계확 립등을 통해 효율적으로 운영하여 사고원인을 규명하고 이해관계자에게 사고정보를 제공하는 위원회 기능을 지원하려는 것임 - (자율차 시범운행지구 서비스 지원사업) 자율차  시범운행지구를 운영ㆍ관리하는 지자체와 자율주행 기업이 안정적인 자율주행 서비스 실증을 할 수 있도록 자율주행서비스 운영비 지원 - (자율차 시범운행지구 평가위탁) 자율차 시범운행지구 성과 평가 위탁기관을 지정하여평가 지표‧절차를 마련하고 시범운행지구별 운영 성과를 매년 평가하여 시범운행지구전반의 운영체계 보완 및 제도개선 사항 도출하는 등 시범운행지구의 원활한 운영을지원하는 것임</t>
  </si>
  <si>
    <t>자율주행글로벌혁신클러스터연구개발사업(R&amp;D)</t>
  </si>
  <si>
    <t>- (자율주행 글로벌 혁신클러스터 연구개발) 혁신클러스터형 국제협력을 통해 국내 자율주행시스템·인프라 안전성·신뢰도를 향상시켜 글로벌 스탠다드 수준 자율주행상 시 운행기반 조기 구축 ➀ (자율주행자동차 정기검사시스템 고도화 국제공동연구) 자율주행차 안전운행을 위한 정기검사 시나리오 및 통합 시스템 개발, 국제 교차실증 기반 상호인정확보와 글로벌 시장·환경 대응을 통한 자율주행 지속발전 기반 구축 2024 2025(2025.12월말 기준) 2026 예산 예산액 (추경) 예산 현액 집행액 [실집 행액] 이월액불용액본예산 예산 현액 집행액 [실집 행액] 전년도 이월액 제외 이월 예상액 불용 예상액 예산</t>
  </si>
  <si>
    <t>지역단위 재난위험도 AI시뮬레이션기반 재난안전관리 기술개발(R&amp;D)</t>
  </si>
  <si>
    <t>- (지역 단위 재난 위험도 AI 시뮬레이션 기반 재난안전관리 기술 개발) 재난안전 빅 데이터(시설물, 환경‧재난 정보 등) 활용 지역 단위 위험도 AI 시뮬레이션 기반 재난 연계‧확산 예측 및 대응 시스템 개발 ․재난 위험도 분석 고도화(시설물 단위 →지역 단위)로 효과적 재난 대응전략 수립 지 원및 실효성 있는 대국민 서비스(실시간 재난 예측‧경고, 피난경로 알림 등) 제공</t>
  </si>
  <si>
    <t>지역특화형자율주행서비스모델및실증기술개발(R&amp;D)</t>
  </si>
  <si>
    <t>- (지역특화형 자율주행 서비스 모델 및 실증 기술개발) 중소도시(인구 30~50만) 대상 으로 자율주행 기반 지역특화 자율주행 서비스 운영 모델 및 차량 개발하고 리빙랩 실증을 통한 상용화 기반 마련</t>
  </si>
  <si>
    <t>철도차량차륜자동검사시스템기술개발(R&amp;D)</t>
  </si>
  <si>
    <t>- (차륜관리기술기준및초음파정밀탐상·AI상태예측기술개발) 동 내역사업은 차륜결함 (균열, 파손 등)에 따른 열차탈선 등 철도 대형사고 예방을 위한 국가 철도차량 차륜관리 기술기준 및 차륜 정밀탐상·AI 상태예측 자동검사시스템 기술개발을 지원하는 것임</t>
  </si>
  <si>
    <t>철도치안관리</t>
  </si>
  <si>
    <t>- (철도치안관리) 철도범죄․테러로부터 국민안전 체감도 제고</t>
  </si>
  <si>
    <t>초고층 복합시설 복합재난관리 디지털플랫폼 기술개발(R&amp;D)</t>
  </si>
  <si>
    <t>- (초고층 복합시설 복합재난관리 디지털플랫폼 기술개발) . 동 세부사업 내용은 지상ㆍ지하 공간이 상호 연계된 도심지 복합공간에서의 복합재난 발생을 억제하고피해를 줄이기 위해초고층 복합시설 복합재난 회복력 강화를 위한 예측ㆍ예방 중심의 초고층 복합시설 복합재난관리 디지털플랫폼 개발을 지원하는 것임 - (복합재난관리 공간디지털트윈 구축·운용기술 개발) . 동 내역 사업은 안전한 사회건설을 위해 초고층 복합시설을 대상으로 인공지능 등 디지털 기술을 활용한 재난 시뮬레이션을 위해공간에 대한 세부적인 형상과 속성 정보들에 대해높은 수준의 세밀도로 디지털트윈을 구축하는 것을 지원하는 것임</t>
  </si>
  <si>
    <t>초연결지능도시핵심기반기술개발(R&amp;D)</t>
  </si>
  <si>
    <t>- (초연결 지능도시 핵심 기반기술 개발) 인공지능을 활용한 고도화된 지능도시 구현 및 인프라 조성을 위하여 도시데이터 표준화 및 초연결 지능도시 플랫폼 핵심기술* 개발과 지자체 실·검증 * (주요 개발 핵심기술) 초연결 지능도시 플랫폼, 도시데이터 표준 모델, 다종 다해상도 CCTV 영상 분석･상황인지 AI 모듈, 이종･다종 초대규모 IoT 데이터 경량화 처리 AI Edge 시스템, LLM 기반 도시데이터 분석 및 시각화 생성형 AI, 우수 서비스･솔루션 표준 모델, 지능형 도시서비스･솔루션 등 2024 2025(2025.12월말 기준) 2026 예산 예산액 (추경) 예산 현액 집행액 [실집 행액] 이월액불용액본예산 예산 현액 집행액 [실집 행액] 전년도 이월액 제외 이월 예상액 불용 예상액</t>
  </si>
  <si>
    <t>금융위원회</t>
  </si>
  <si>
    <t>FIU전산망구축운영(정보화)</t>
  </si>
  <si>
    <t>- (FIU전산망 구축·운영) 특금법령(法§3 및 令§5②)에 따라 특정금융거래정보의 효율적인 보고·관리 및 활용을 위한 정보시스템 구축·운영 및 관리</t>
  </si>
  <si>
    <t>국민성장펀드</t>
  </si>
  <si>
    <t>○첨단전략산업 경쟁격화에 대응한 적극적인 금융지원으로 산업경쟁력 강화가 필요한 상황에서, 시중자금의 물꼬를 생산적 영역으로 바꾸는 금융대전환 추진 대표과제로 민관합동 150조원 이상의 ‘국민성장펀드’ 프로젝트 추진 - 첨단전략산업에 대한 장기투자 및 메가프로젝트 투자를 확대하는 정부 정책에 부응, 정책펀드가 생산적 금융의 중심축으로 기능할 수 있도록 기존 정책펀드를 개편하고, ‘26년 사업에 필요한 마중물 자금으로서 총 1조원 출자</t>
  </si>
  <si>
    <t>신용정보(정보화)</t>
  </si>
  <si>
    <t>기상청</t>
  </si>
  <si>
    <t>기상업무지원기술개발연구(R&amp;D)</t>
  </si>
  <si>
    <t>○(기상업무지원기술개발연구) 기상청 기상·기후 서비스 수준 제고에 필수적인 핵심 기술* 현업화를 위해 최신기술을 적용한 자체 연구개발을 추진 * 핵심기술: 인공지능, 인공강우, 예보기술, 관측기술, 기후실험 등 - (내역사업1: 예보기술 지원 및 활용연구) 위험기상(장마, 집중호우 등) 메커니즘 이해하여 예보 역량을 높이고, 수도권 및 재해취약 지역을 대상으로 위험기상 대응 및 기상재해 최소화를 위해 최신 감시·진단·예측기술 개발 및 예보 현업을 지원함. - (내역사업2: 관측기술 지원 및 활용연구) 국가기상관측자료의 품질 확보와 위험기상 조기감지 능력 강화를 위해 현업 및 첨단 기상관측장비를 대상으로기술규격․운영환경 기준 마련, 위험기상 선행관측․특별관측, 해양기상 관측, 기상조절 및 구름물리 실험을 수행함. - (내역사업3: 기후‧기후변화 예측기술 지원 및 활용연구) 기후변화 정책지원 및 탄소중립 실현을 위한 국가기후변화 표준시나리오 산출 및 한반도 기후변화 분석, 다양한 기후변화정보 (입체감시, 예측 등) 및 영향평가를 제공하며, 기상청기후예측 성능 향상을 위한현업기후 예측시스템을 운영·개선함. - (내역사업4: 황사‧연무기술 지원 및 활용연구) 기상청 황사‧연무 감시 및 예보지원을 위해 종합관측체계를 통한 감시 및 현업 통합예측모델 개선을 통한 예측정확도 향상, 한반도 대기 조성물질의 장기변화 특성 분석을 수행함. - (내역사업5: 응용기상기술 지원 및 활용연구) 국민 생활․산업 전반의 기상 수요충족과사회적 가치 창출을 위해 다양한 분야의 수요자를 대상으로 초고해상도상세기상정보를 비롯한 보건․농림․ 도시․산업 등 맞춤형 응용기상정보를 제공함. - (내역사업6: 인공지능기술 지원 및 활용연구) 기상정보 분석․예측의신속·정확성을 제고하고 예보관 의사결정을 지원하기 위해 인공지능을 접목한 예측기술(초단기~기후) 및 예보지원 기술 개발, AI 처리성과 성능 향상을 위한 대용량·다양한 기상·기후자료융합기술 개발을 수행함.</t>
  </si>
  <si>
    <t>기후위기 대응 국가 기후예측시스템 개발(R&amp;D)</t>
  </si>
  <si>
    <t>- (기후위기 대응 국가기후예측시스템 개발) 기후변화 가속화로 극단적 이상기후가 빈발함에 따라 기후위기 대응 국가정책 수립 지원을 위해 한반도를 포함한 동아시아 기후환경에 적합한 국가기후예측시스템 개발하여정부부처‧지자체, 산업계, 일반국민을 대상으로 상세한 고품질의 기후정보 서비스 - (10년 국가기후예측시스템 개발) 국가기후예측모델 핵심기술, 접합기술, 현업기반기술 개발 및 수요자 맞춤형 기후서비스 체계 구축을 통하여 농업, 에너지, 보건 등 기후 위기 대응을 위한 근미래(1개월~10년) 기후예측정보 제공 2024 2025(2025.12월말) 2026 예산안 예산액 (추경) 예산 현액 집행액 [실집 행액] 이월액불용액본예산 예산 현액 집행액 [실집 행액] 전년도 이월액 제외 이월 예상액 불용 예상액</t>
  </si>
  <si>
    <t>선진예보시스템 구축 및 운영(정보화)</t>
  </si>
  <si>
    <t>- (예보시스템 개선 및 운영) 동 내역사업은 예보시스템에 예보정책 변화를 반영하고, 수치모델‧위성‧레이더의 향상된 기술 및 산출물을 적용하며, 국민‧예보관‧방재담당자의 서비스 및 시스템 개선 요구를 반영하는 등 지속적인 개선과 보완을 추진하고, 현업 예보시스템이 안정적으로 운영될 수 있도록 체계적인 운영관리로 무중단 예보서비스 제공을 지원하는 것임 - (국가기상센터 운영) 동 내역사업은 24시간 정확한 기상정보 생산을 위해 국가기상센터 운영을 지원하는 것임 - (선진예보시스템Ⅱ구축) 동 내역사업은 지능화 기반의 예보시스템 구축을 위해 2023~2025년까지 수행한 사업으로, 2026년에는 ‘예보시스템 개선 및 운영’ 내역 사업을 통해 지속적인 개선을 수행하게 됨 - (수치예보시스템 운영체계 개선) 동 내역사업은 현업 수치예보모델의 예보지원을 위한 전 후처리 기술개발 및 수치예보시스템 운영의 안정성 확보를 위한 관리체계를 개선하는 것임</t>
  </si>
  <si>
    <t>기획예산처</t>
  </si>
  <si>
    <t>디지털예산회계시스템 운영(정보화)</t>
  </si>
  <si>
    <t>기후에너지환경부</t>
  </si>
  <si>
    <t>AI기반 분산전력망 산업육성</t>
  </si>
  <si>
    <t>- (AI 기반 분산전력망 산업 육성) · (목적) 지역 단위의 촘촘한 소규모 전력망(한국형 차세대 전력망)을 배전망에 구축하여 재생에너지에 적합한 전력시스템 구성 및 지역별 전력수급의 균형 도모 · (내용) VPP사업 활성화, 재생에너지 출력제어 및 접속지연 완화, 주민참여형 이익 공유 시스템 마련을 위한 에너지저장장치 설치 지원 - (AI 활용 ESS 구축지원 사업) 재생에너지 출력제어 및 접속지연 완화를 위해 VPP 사업자를 대상으로 ESS 설치를 지원 - (공유형 ESS) 지역 경제 활성화 및 주민-기업 이익 공유를 위해 주민협의체를 대상으로 ESS 설비 구축을 지원 - (커뮤니티솔라) 주민이익 공유모델의 확산을 위해 계통이 부족한 지역의 햇빛소득 마을을 대상으로 ESS 설비 구축을 지원 * ESS 수요가 있는 햇빛소득마을에 ESS 설비를 구축 및 운영할 수 있는 민간사업자를 선정하고 구축 비용을 지원</t>
  </si>
  <si>
    <t>AI기반무탄소에너지활용화학기술개발(R&amp;D)</t>
  </si>
  <si>
    <t>- 미래 순환자원(바이오매스 및 폐플라스틱) 활용 고부가 화학 원료 제조를 위한 AI 기반 무탄소 에너지(CFE) 활용 에너지 저감형 화학원료 제조기술 및 AI자원 목명 2024년 결산 2025년 계획 2026년 증감 (B-A) 당초(A) 수정 정부안 확정(B) (B-A)/ A AI기반무탄 소에너지활용 화학기술개발 (R&amp;D) - - - 3,400 3,400 3,400 순증 2024 2025 2026 계획</t>
  </si>
  <si>
    <t>AI 기반 분산·예비전력 안전관리 통합 플랫폼 개발 및 실증(R&amp;D)</t>
  </si>
  <si>
    <t>- AI기반 재생에너지·유연성 전력자원의 실시간 양방향 안전관리 통합 플랫폼 구축을 통한 안정적인 전력공급 및 재난사고 예방에 기여 - (내용) 분산·예비전력(비상발전기, ESS, V2G 등) 자원의 자산·운영·설비안전 데이터에 대한 디지털 통합 안전관리 플랫폼 개발/실증 및 제도화를 위한 2개 과제 지원 · (안전관리 통합 플랫폼) AI 빅데이터와 연동된 분산·예비전력 자원의 지역별/설비별 실시간 모니터링을 통한 위험예측 및 비상대응 안전관리 플랫폼 개발 · (비상대응 원격제어 기술) 디지털 기반 분산·예비전력(ESS, 비상발전기, 전기차 충 전기 등) 자원과 연계한 전력수급 비상대응 원격제어 기술개발 및 정보공유체계 구축/실증</t>
  </si>
  <si>
    <t>AI응용제품 신속 상용화 지원사업(환경)</t>
  </si>
  <si>
    <t>- 국내 환경 기업의 AI 응용제품 사업화 기간 단축 및 조기 상용화를 위해 1~2년 내 성 과도출이 가능한 유망 AI 융합분야의 상용화 및 확산을 지원하는 사업 2024 2025 2026 예산 예산액 (추경) 예산 현액 집행액 [실집 행액] 이월액불용액본예산 예산 현액 집행액 [실집 행액] 전년도 이월액 제외 이월 예상액 불용 예상액 예산 현액 집행액 [실집 행액]</t>
  </si>
  <si>
    <t>K-그리드 인재·창업 밸리</t>
  </si>
  <si>
    <t>ㅇ (K-그리드 인재·창업 밸리 조성) 한국에너지공대를 중심으로 분산 에너지 거점 지 역인 전남·광주를 차세대 전력망의 사업화, 제도화, 국제화를 통합 구현하는 국가 전략 플랫폼으로 조성하여, 전력신산업 혁신 연구와 창업생태계 활성화를 통해 분 산전력망 혁신사례 확산 및 지역 경제 진흥 도모 - (분산에너지 실증 클러스터 구축) 차세대 분산에너지를 중심으로한 전력망 운 영 모의 통합 시스템 구축을 통해 재생에너지 기반 VPP와 디지털 트윈을 활용한 한국형 차세대 전력망 실증 및 기반 기술 개발 지원 - (글로벌 K-에너지 스타트업 인재양성 인턴쉽 추진) 해외 주요 혁신 에너지기 업, 스타트업 및 기관에서 인턴십을 수행하며 최신 기술 및 혁신 비즈니스 모델 2024 2025 2026 예산 예산액 (추경) 예산 현액 집행액 [실집 행액] 이월액불용액 본예산 예산 현액 집행액 [실집 행액] 전년도 이월액제외 이월</t>
  </si>
  <si>
    <t>광역상수도 안정화</t>
  </si>
  <si>
    <t>○(광역상수도 안정화) 준공 이후 30년 이상 경과한 광역상수도 노후관로 개량, 단선관로 복선화, 고도정수처리시설 설치를 통한 용수공급 신뢰성 제고 - (수도권(Ⅰ) 광역상수도 노후관 개량(2차)) ‘79년 준공 후 46년이 경과한 수도권(Ⅰ) 광역상수도 노후관 개량을 통해 경기 서부지역 용수공급 안정성 강화 - (남강댐광역 1단계 노후관 개량) ’89년 준공 후 36년이 경과한 남강댐 광역상수도 1단계의 관로 개량 및 대체관로를 통한 용수공급 신뢰성 제고 - (대청댐광역 노후관 개량) ‘87년 준공 후 38년이 경과한 대청댐 광역상수도(대청댐, 1,010천㎥/일)의 관로 개량 및 대체관로를 통한 용수공급 신뢰성 제고 - (태백권 광역상수도 광동계통 노후관 개량) ‘89년 준공 후 36년이 경과한 태백권광역 상수도 광동계통(광동댐, 70천㎥/일)의 관로 개량 및 대체 관로 신설을 통한 태백시등 4개 시·군의 용수공급 신뢰성 제고 - (수도권(Ⅳ) 광역상수도 복선화) 수도권Ⅳ단계 복선화사업 대상인 시화/안산계통은 단수시 광역상수도를 대체할 수원이 없어 대규모 단수가 불가피한 실정임에 따라 안정성 확보를 위한 복선화 사업 시행 - (동화댐광역상수도 관로복선화) 동화댐 광역상수도는 단선관로로 사고발생시 대규모 단수가 불가피하여 주요구간 복선화를 통해 안정적 용수공급 도모 - (포항광역상수도 관로복선화) 포항광역상수도는 단선관로로 사고시 대규모 단수가 불가피하여 주요구간 복선화를 통해 안정적 용수공급 도모 - (전남남부 광역상수도 관로복선화(1차)) 전남 10개 시·군의 생활 및 공업용수 공급 시설로 급수인구가 약 35만명에 달하지만 사고 시 대체할 수원이 없어 대규모단수 사태를 사전에 방지하기 위한 복선화 사업 시행(장흥댐, 200천㎥/일) - (고도정수처리시설 설치(광역)) 원수 수질악화로 일반공정으로 처리가 곤란한 맛·냄새 물질, 미량 유해물질 등을 제거하고자 고도정수처리시설(광역) 도입 - (경기북부1차 관로복선화) 경기북부1차 관로는 포천시 등 3개 지자체에 용수를 공급 하는 시설(급수인구 45만명)로 사고 시 대체할 수원이 없어 대규모 단수 사태를 사전에 방지하기 위한 복선화 사업 시행 - (전주권광역 관로복선화) 전주권 광역상수도는 전주 등 6개 지자체(급수 인구 137만명)와 군산국가산업단지 등에 용수를 공급하는 단선관로로 사고 시 비상용수공급이 불가 하여 단수 예방을 위한 복선화사업 추진 - (수도권(Ⅴ)인천평택 관로복선화) 수도권(Ⅴ) 인천평택계통은 인천시 등 10개 지자체</t>
  </si>
  <si>
    <t>국가하천유지보수</t>
  </si>
  <si>
    <t>- (국가하천유지보수) 전국 89개 국가하천(‘25년 승격 포함)의 제방, 호안, 배수시설, 저 수로, 16개 다기능보, 홍수조절지, 친수시설 등 하천시설에 대한 체계적인 유지관리를 통해 기후 변화에 능동적으로 대처함으로써 수해 예방 및 친환경적인 하천공간 조성</t>
  </si>
  <si>
    <t>국립생태원 출연</t>
  </si>
  <si>
    <t>- (인건비) 국립생태원 임·직원 651명 인건비 - (경상경비) 국립생태원 기관운영을 위한 공공요금 및 제세 등 기본경비 - (예비비) 공공기관 평가기관 평가결과에 따라 지급되는 경영평가 성과급 - (사업비)「국립생태원의 설립 및 운영에 관한 법률」에 따른 사업 추진을 위한 경비 · 생태조사·연구·평가, 기후대별 생태계 변화 관찰 및 적응 등 연구 · 생태계 복원에 관한 연구 및 기술개발 사업 추진 · 생태계 교란생물 및 유전자 변형 생물체의 생태계 위해 관리에 관한 연구 · 동·식물 등 생태 관련 전시, 체험 및 홍보시설 조성과 운영 · 생태관련 전문인력 양성, 교육프로그램 개발 및 운영 · 멸종위기 야생생물 보전, 증식 및 복원에 관한 사업 등 구분 2024 2025 2026 예산 예산액 (추경) 예산 현액 집행액 [실집 행액] 이월액불용액본예산 예산 현액 집행액 [실집 행액] 전년도 이월액 제외</t>
  </si>
  <si>
    <t>극한지스마트광역탐사를위한로봇-ICT융합기술개발(R&amp;D)</t>
  </si>
  <si>
    <t>o (극한지 스마트 광역탐사를 위한 로봇-ICT 융합기술 개발) 첨단 로봇과 ICT 기술을 융합하여 극지(남극) 대륙 탐사 및 연구과정에서 발생하는 고비용, 성능제약 및인 목명 2024년 결산 2025년 계획 2026년 증감 (B-A) 당초(A) 수정 정부안 확정(B) (B-A)/A 극한지스마트 광역탐사를위한 로봇-ICT융합 기술개발(R&amp;D) - - - 3,500 3,500 3,500 순증 2024 2025 2026 계획 계획액</t>
  </si>
  <si>
    <t>기후변화 적응 수재해 관리 기술개발사업(R&amp;D)</t>
  </si>
  <si>
    <t>- (세부사업명) 기후변화 적응 수재해 관리 기술개발사업 - (사업목적) 수재해 관리 기술 고도화를 통해 기후변화로 인하여 심화되는 수재해에 대한 적응역량 및 대응능력 강화 - (사업목표) 기후위기로 인한 수재해 피해 최소화 및 국민안전 확보를 위한 수재해 관리 핵심기술 개발 - (내역사업1 - 기후위기 대응 수재해 감시기술개발) 동 내역사업은 기후변화로 급증 하는 수재해에 대한 감시 및 예측 정확도를 높여 수재해 피해저감과 기후변화 적 응역량을 강화하기 위해 인공지능(AI)을 활용한 강우·유출량 빅데이터 분석, 홍수 예 측모형 고도화 등 기술개발을 지원하는 것임 - (내역사업2 - 홍수 대응능력 강화 기술개발) 동 내역사업은 극한호우로 발생하는 홍 수(하천범람 및 도시침수) 피해를 저감하기 위해 모듈러 방식의 월류방어벽과 대심 도 빗물터널 등의 홍수 대응 기반시설(인프라) 개선 등 기술개발을 지원하는 것임 - (내역사업3 - 물수요 대응 수자원 확보 기술개발) 동 내역사업은 가뭄빈도 증가와 산업 변화에 따라 증대되는 물수요에 대응하기 위해 용도별 물수요-공급 관리 시스템, 저탄소·고회수율 방식의 해수담수화 기술 등 기술개발을 지원하는 것임</t>
  </si>
  <si>
    <t>기후변화 적응을 위한 생태계 복원 및 관리 기술개발사업</t>
  </si>
  <si>
    <t>- (기후변화 적응을 위한 생태계 복원 및 관리 기술) 기후변화 적응을 위한 자연생태계 복원 및 관리 기술 개발로 국토의 생태적 지속가능성 확보 2024 2025 2026 예산 예산액 (추경) 예산 현액 집행액 [실집 행액] 이월액불용액본예산 예산 현액 집행액 [실집 행액] 전년도 이월액 제외 이월 예상액 불용 예상액 예산 현액 집행액 [실집 행액]</t>
  </si>
  <si>
    <t>대기오염측정망 구축·운영</t>
  </si>
  <si>
    <t>- (국가측정망 설치·운영, 지자체측정망 설치·운영) · 대기오염측정망으로 대기오염 및 기후․생태계 변화유발물질의 실태를 파악하여 대기 환경개선 정책의 기초 자료로 활용 · 대기오염측정망의 설치, 교체, 운영, 유지관리 등을 통하여 지역별, 오염항목별 대기질 자료를 획득하고 대기환경기준․배출허용기준의 설정 및 정책효과 평가 등에 활용 - (장거리이동대기오염물질 피해방지 종합대책) · 발생 빈도와 강도가 증가하고 있는 황사 등 장거리이동대기오염물질로 인한 국민건강피해 최소화 · 장거리이동 대기오염물질 중 유해중금속 및 미량 유해대기오염물질을 실시간으로 측정․분석하여 공개하고 장거리이동 대기오염물질 저감을 위한 국제협력을 강화하여 관련 피해 저감 - (환경위성 지상국 운영) · 환경위성 산출물의 정확도 개선 및 국외 유입 미세먼지 유입량 산정 등 대기질 국제 공동조사를 위한 검증 기반 마련 - (미세먼지 예보) · 미세먼지 예보정확도 향상을 위한 예보모델 개발 및 예보시스템 개선, 통합예보센터 운영 등에 필요한 사업비 지원 - (간이측정기 성능인증제 운영) · 간이측정기 등 형식승인 대상이 아닌 광산란 방식 간이측정기에 대한 관리 필요성이 제기되어 간이측정기 활용 제도적 기반 마련(「미세먼지 저감 및 관리에 관한 특별법」 제24조(미세먼지 간이측정기 성능인증 등), ‘18. 8. 14. 제정, ’19. 8. 15. 시행) · 미세먼지 간이측정기 성능인증제 운영을 위한 사후관리 및 연구비 지원(‘19~)</t>
  </si>
  <si>
    <t>데이터센터탄소중립을위한열관리기술개발(R&amp;D)</t>
  </si>
  <si>
    <t>- 데이터센터의 에너지 절감 및 탄소중립 실현을 위해 고효율 인랙 냉각시스템, 초박형 슬림팬, 광센싱 기반 AI 열관리 시스템 핵심 기술의 조기확보 2024 2025 2026 예산 예산액 (추경) 예산 현액 집행액 [실집 행액] 이월액불용액본예산 예산 현액 집행액 [실집 행액] 전년도 이월액 제외 이월 예상액 불용 예상액 예산 현액 집행액 [실집 행액]</t>
  </si>
  <si>
    <t>디지털 담수화 플랜트 농축수 자원화 기술개발사업</t>
  </si>
  <si>
    <t>- (디지털 담수화 플랜트 농축수 자원화 기술개발사업) 국내·외 환경 변화에 따른 담수화 新시장 진출 및 선점을 위한 담수화 플랜트 디지털 전환 및 농축수 자원화 기술 개발 - (해수담수화 플랜트 디지털 전환 및 농축수 자원화 기술 개발) 동 내역사업은 해수담 수화 선도기술 확보를 통한 미래 신시장 선점 및 수출경쟁력 강화를 위해 해수담수화 연구 기관(대학, 기업, 출연, 국공립 연구소 등)을 대상으로 디지털 기술과 농축수 자원화 기술이 융· 복합된 차세대 해수담수화 신격차 핵심기술을 확보하는 것임</t>
  </si>
  <si>
    <t>무탄소에너지핵심기술개발사업(R&amp;D)</t>
  </si>
  <si>
    <t>- (무탄소에너지핵심기술개발사업) 국가 온실가스 감축목표(‘18년 배출량 대비 40% 감축) 및 2050 탄소중립 실현에 기여하기 위한 전환, 폐기물, 수소, CCUS 유형별 R&amp;D 추진을 통하여 에너지ㆍ환경 산업 전략 기술을 중심으로 대규모 탄 소 감축 유도 및 미래혁신기술 확보 · (무탄소에너지핵심기술개발) 무탄소 발전원을 활용한 핵심 에너지 신기술 확보를 통해 에너지 대외의존도를 완화하고, 2050 탄소중립 실현에 기여 · (C1가스리파이너리밸류업) 선행사업(C1가스리파이너리, ‘15~’24)을 통해 확보한 원천 기술의 성과를 고도화하여 CCU 기술의 조기상용화 및 탄소중립 분야 新산업 창출 2024 2025 2026 계획 계획액 (수정 ) 계획 현액 집행액 [실집 행액] 이월액불용액 계획액 계획 현액</t>
  </si>
  <si>
    <t>물산업정책 및 국제협력</t>
  </si>
  <si>
    <t>□(물산업정책 및 국제협력) 주요국 정부 및 국제기구와 물분야 양자·다자 협력을 추진하 고, 국내·외 행사 개최 등을 통해 물산업 해외진출·수주 지원, 물분야 국제위상 제고 - (대한민국 국제물주간 등 국제행사 개최) 각 국 정부, 국제기구 및 국내․외 물분야 전문가 대상으로 물 문제 해결방안 논의, 국내 물산업 해외진출 확대 등을 위한 국제행사 개최․운영 - (물분야 국제기구 협력 및 공동연구) 유네스코 물안보센터 및 아시아물위원회 운영, WMO·OECD·유네스코·IDB 등 국제기구 공동연구 - (기타 물산업정책 지원) 국내 물분야 관계기관 협의체 운영 및 향후 물분야 국제협력 로 드맵 마련을 위한 연구용역, 그 외 국내·외 여비 등 국제업무 수행 소요비용 등</t>
  </si>
  <si>
    <t>미래변화 대응 수자원 안정성 확보 기술개발사업(R&amp;D)</t>
  </si>
  <si>
    <t>- (세부사업명) 미래변화 대응 수자원 안정성 확보 기술개발사업 - (사업목적) 수자원 관리와 관련된 미래변화에 효과적으로 대응하기 위한 핵심 기술을 확보함으로써 수자원 안정성 지속 확보로 국가 물관리 정책지원 및 물 복지 실현을 위한 기술개발 추진 - (내역사업1- 수자원 변동성 대응능력 강화 기술개발) 동 내역사업은 수자원에 대한 지능형 실시간 측정·모니터링을 통해 수문학적 상호작용을 고려한 변동성 예측 지원 기술 개발을 지원하는 것임 - (내역사업2- 수요기반 수자원 균형공급 기술개발) 동 내역사업은 수자원시설에 대한 재평가 및 최적 연계를 통한 비구조적인 방법의 수자원 확보 기술 개발 등을 지원 하는 것임 - (내역사업3- 스마트 기반 수자원시설 최적관리 기술개발) 동 내역사업은 노후화 및 다양한 재해에 대비하여 첨단 기술을 활용한 스마트기반의 시설 안전관리 기술 개발 등을 지원하는 것임</t>
  </si>
  <si>
    <t>블록체인 기반 살생물제 정보 지능형 공정관리 기술개발사업(R&amp;D)</t>
  </si>
  <si>
    <t>- (사업목적) 가습기살균제 유사사고 예방 목적의 블록체인 및 AI기술 기반 원·부자재 공급망 (원료·소재·부품·제품) 내 살생물제(화학물질)의 지능형 공정 안전관리기술 개발 - (사업내용) · 공급망(원료·소재·부품·제품) 살생물제(화학물질) 안전관리를 위해 블록체인과 전주기 이력 추 적·관리 기술을 적용한 AI 기반 지능형 공정 안전관리기술 개발 · 공정 내 취급하는 살생물제(화학물질)에 대해 AI 기반 국내·외 규제 적합성과 안전성을 평가하 여 원자재 입고 및 제품 출고를 제어하는 기술개발 및 실증</t>
  </si>
  <si>
    <t>사업장 미세먼지 관리사업</t>
  </si>
  <si>
    <t>- (사업장총량관리제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 시스템 운영 및 기술지원으로 대기질 개선 * 대기1∼3종 중 질소산화물, 황산화물을 연 4톤 초과, 먼지 0.2톤 초과 배출하는 사업장 - (굴뚝원격관제센터 운영) 굴뚝자동측정기기를 부착한 사업장에서 배출하는 대기오염 물질에 대한 24시간 상시 관리체계를 구축하여 대기오염물질 배출 저감 유도 - (굴뚝자동측정기기 설치·운영비 지원) 굴뚝자동측정기기(TMS) 旣 부착 사업장에 대한 운영비(유지관리, 정도검사 등) 비용 지원으로 중소기업의 재정부담 완화, 대기오염 물질 상시감시체계 구축 및 오염물질 배출 저감 유도 - (소규모 사업장 방지시설 설치지원 사업) 재정적으로 열악한 중소사업장의 노후 방지 시설 설치비용 및 IoT측정기기 설치비용, 벙커-C유, 유연탄 등 기존사용하던 연료를 청정연료(기체연료)로 전환비용을지원하여 미세먼지 등 대기오염물질 저감 - (저녹스버너 성능검사 및 사후관리) 저녹스버너 제작업체가 성능이 우수한 제품을 지속적으로 개발·보급하도록 유도하고, 저녹스버너를 설치한 사업장에서 효율적 운영을 도모하도록 검사(인정·성능확인·사후관리) 수행 - (IoT 활용 소규모 사업장(4∼5종) 관리기반 마련) 굴뚝자동측정기기(TMS) 부착 배출 시설 외의 배출시설에 사물인터넷(IoT) 센서를 부착하여 배출시설 및 방지시설의 적정 가동 여부를 원격 감시하기 위한 시스템 운영 - (첨단감시장비 운영 사업) 이동측정차량, 분광학 측정장비 등 첨단장비를 활용하여 오염물질 배출원 탐색 및 배출농도ㆍ배출량 산출 등 종래 오염도검사의 시간적 제약 등을 극복한 효율적 사업장 관리 * 대기사업장 오염도 검사시 광역적 범위의 조사가 가능하며, 오염의심 사업장을 중심으로 선택과 집중의 지도·점검 등 감시역량 고도화 - (미세먼지 불법배출 예방ㆍ감시 지원사업) 미세먼지 불법배출 예방감시 민간점검단 운영 지원(균특, 지자체)을 위한 복무관리시스템 유지관리 및 교육․홍보 지원 - (미세먼지 등 인벤토리 구축) 특정대기유해물질, 미세먼지 배출원에 대한 인벤토리 작성 및 배출계수 개발 등을 위한 연구 - (대기관리권역 통합관리시스템 운영) 「대기관리권역의 대기환경개선에 관한 특별법」 시행(‘20.4)에 따라 권역별(4개권역) 대기환경관리 기본계획 수립 및 지자체의 이행실적</t>
  </si>
  <si>
    <t>상수도정보화시스템구축(정보화)</t>
  </si>
  <si>
    <t>- (상수도 종합정보시스템 구축·운영) 국민들이 믿고 먹을 수 있는 안전한 수돗물 공급기 반을 구축하고 수돗물의 전 공급과정에 대한 정밀관리로 수돗물의 안전성 강화 및 수돗물 신뢰도 제고 - (하수도 통합정보체계 구축·운영) 하수도 통합정보관리에 의한 최신 정보제공으로 국가하 수도 종합계획, 통합권역 및 지자체 하수도정비기본계획 등 정책 수립의 신뢰성 강화 와 이에 따른 재정투자의 실효성 확보 - (토양지하수 정보시스템 운영관리) 토양․지하수 분야의 정보시스템 구축․운영으로 일반국 민 및 업무담당자의 행정서비스를 강화하고, 효율적인 토양․지하수 관리 및 정보 제공 체계를 마련 - (인공지능기반 정보시스템 운영관리) 지하수 오염물질 예측관리를 위한 인공지능기반 (AI) 감시 및 예측시스템 구축으로 일자리 창출 및 정화비용 절감에 기여</t>
  </si>
  <si>
    <t>생물다양성 보전 및 관리</t>
  </si>
  <si>
    <t>- (국가 생물자원 종합 인벤토리 구축) 한반도에 서식하는 생물종의 목록을 구축하고, 그 증거가 되는 표본정보를 확보하며, 이를 기반으로 우리나라에만 서식하는 고유생 물종을 연구하고, 고유종에 대한 평가를 통해 한반도 고유종 목록을 구축하는 등 국 가 생물종 관리를 위한 기초자료 확보 - (보호야생생물 평가 및 관리) 국내 야생생물의 분류/생태/활용/보전/멸종위협 정 도를 파악하여 국가생물적색목록 작성, IUCN Red list 등재 추진 기초 자료를 확 보하고, 기후변화 시나리오를 활용한 생물종의 분포 예측으로 생물다양성 평가 및 손실 예측 하는 등 국가 생물다양성 보전 및 정책 수립을 지원 - (환경문제 생물종 연구) 곤충 대발생 등 환경문제 생물종 대응, 외래종 퇴치 및 수입 대체 실험생물 발굴 등을 위해 대발생 원인분석, 친환경적 개체수 저감방안 마련, 자생 생물 유래 독성물질의 유용성 정보 확보, 실험동물 대체 자생생물 탐색 등 환경 현안 및 나고야의정서 대응을 위한 자생생물자원 발굴 및 목록화 - (주요 자생종 바코드 분석 및 계통수 작성) 생물종간 유연관계 규명 및 야생생물자 원의 다양성을 쉽고 빠르게 탐색할 수 있는 DNA바코드 기법을 이용하여 CITES 종, 환경지표생물 등 생물자원관련 현안에 대한 과학적 대처 방안 마련 - (야생생물자원 이용기반 구축) 국가 생물자원의 총괄 관리를 위해 기후에너지환경부에서 지정한 생물자원 기탁등록보전기관에서 보유한 생물자원의 DB화 및 안정적 유지 관리 기반 구축 - (기후변화 영향 생물 연구) 기후변화 대응 생물다양성 연구 및 환경유전자 분석 기반 생태계 생물학적 평가 - (생물다양성 국제협력 ODA) 쿤밍-몬트리올 글러벌 생물다양성 프레임워크(GBF 19(a), GBF 20) 이행 등 글로벌 생물다양성 증진을 위한 국제적 기여 확대를 목적 으로 개발도상국 등 생물다양성 ODA사업 추진 및 확대</t>
  </si>
  <si>
    <t>세라믹분야 스마트그린 제조혁신 지원사업(R&amp;D)</t>
  </si>
  <si>
    <t>- (세라믹분야스마트그린제조혁신지원) 세라믹 산업 디지털전환 및 탄소중립 실현을 위한 제조 현장 적용 가능 세라믹 스마트 제조 플랫폼 개발, 스마트 제조 플랫폼 연계 세라믹 그린에너지 플랫폼 개발, 스마트 제조 플랫폼 활용 확대를 위한 비즈니스모델 개발 지원 · (세라믹 스마트 제조 플랫폼 개발) 세라믹 공정 인프라 고도화를 통해, 세라믹 기업 제조 현장 적용이 가능한 지능화 플랫폼 개발 · (세라믹 그린 에너지 플랫폼 개발) 공정 전력 에너지의 약 3~7% 절감이 가능한 지능형 FEMS(Factory Energy Management System) 개발 및 스마트 제조 플랫폼과의 연계를 통한 산업체 실증 · (플랫폼 활용 비즈니스 모델 개발) 세라믹 제조분야 스마트그린 플랫폼 활용에 따른 민간 확산을 위한 신규 비즈니스모델 개발</t>
  </si>
  <si>
    <t>수문조사시설 설치 및 개선</t>
  </si>
  <si>
    <t>◦(수문조사시설 운영 및 개선) - 하천에 설치되어 있는 전국 1,844개소 수문조사시설의 유지관리 및 노후 시설을 개선하고, 하천화상감시장치 등을 설치하여 신뢰도 높은 홍수예보 시행 필요 * 수위 933, 강수량 427, 강우레이더 17, 하천감시 388, 기타 79개소 등 ◦(강우레이더 구축) - 홍수피해 대부분(73%)에 해당하는 도시홍수 예측능력 강화를 위해 대전 등 17개소 소형강우레이더의 연차적 신설 추진하여 홍수피해 예방 필요 2024 2025 2026 예산 예산액 (추경) 예산 현액 집행액 [실집행액] 이월액불용액본예산 예산 현액 집행액 [실집 행액] 전년도 이월액 제외이월 예상액 불용 예상액 예산 현액 집행액 [실집행액]</t>
  </si>
  <si>
    <t>수열에너지 활용기술 및 에너지 믹스 기술개발(R&amp;D)</t>
  </si>
  <si>
    <t>- (수열에너지 활용 기술 및 에너지 믹스 기술개발사업) 수열에너지 활성화를 위해 다양한 수열원의 핵심인자 변화(온도·탁도 등)에 대응한 효율 개선, 최적화된열취 득 구조 및 소재 개발을 위한 기술개발을 추진 - (중앙집중형 실증플랜트) 수열에너지원의 활용 확대를 목적으로 하천수·유출지하수· 정수·하수 등에 적용가능한 수열에너지원 조건 다변화 대응 능동형 시스템 개발 - (분산클러스터형 실증플랜트) 수요 예측 기반 복합 수열에너지원 운전 기술 및 소 규모 분산형 미활용 에너지 회수 하이브리드 시스템 개발</t>
  </si>
  <si>
    <t>수용가전기설비원격점검및디지털안전기술개발(R&amp;D)</t>
  </si>
  <si>
    <t>- 수용가 전기설비(220V∼154KV) 원격점검 장치 상용화 및 성능평가 기술 및 AI  기 반 디지털 전기안전관리 플랫폼 개발로 전기재해 예방 및 해외시장 진출 지원 ▪저압 전기설비 원격 안전관리 및 송수신 장치 개발·실증 및 확산전략 수립 ▪특고압 전기설비 안전데이터 수집 쳬계 및 성능평가 기술 개발 ▪AI 기반 전기설비(220V∼154KV) 디지털 안전관리 플랫폼 개발 및 실증</t>
  </si>
  <si>
    <t>장거리 고압수소 배관망 고안전성 확보 및 AI기반 안전관리 기술개발(R&amp;D)</t>
  </si>
  <si>
    <t>- 장거리 고압수소 배관망의 수소누출 초정밀 감지 및 취성·부식 탐상기술과 AI 기반 위 험예측·진단 안전관리 플랫폼 기술 확보를 통해 안전한 수소산업 육성 지원 ▪초정밀 수소누출 감지 기술 및 온디바이스 AI 제어모듈 개발 ▪지하 배관망 내부 상태 수소취성 검사·부식 결함탐상 기술개발 및 실증 ▪AI 기반 위험예측·진단·자율안전 등 고안전성 확보 기술 개발 ▪장거리 수소 배관망 디지털트윈 기반 안전관리 플랫폼 개발 및 실증</t>
  </si>
  <si>
    <t>전력망물리기반AI모델개발및실증(R&amp;D)</t>
  </si>
  <si>
    <t>차세대 해양·극지의 환경 및 생태계에 관한 기후예측시스템 개발(R&amp;D)</t>
  </si>
  <si>
    <t>폐의류 문제해결 플래그십 재활용 기술개발사업(R&amp;D)</t>
  </si>
  <si>
    <t>- (사업목적) 폐의류의 순환경제 체계 구축을 위해 분리·선별 자동화 및 물질재활용 등 순환이용 기술개발 - (주요 내용) 1개 내역사업으로 폐의류의 “자동 분리·선별→전처리(오염제거 등)→재활용 (재생섬유화)”까지 폐의류 전주기 관리 및 순환이용성 향상 기술개발 2024 2025 2026 예산 예산액 (추경) 예산 현액 집행액 [실집 행액] 이월액불용액본예산 예산 현액 집행액 [실집 행액] 전년도 이월액 제외 이월 예상액 불용 예상액 예산 현액 집행액</t>
  </si>
  <si>
    <t>환경보건 빅데이터 구축 및 AI 활용 고도화 기술개발(R&amp;D)</t>
  </si>
  <si>
    <t>환경정보 융합빅데이터 플랫폼 구축(정보화)</t>
  </si>
  <si>
    <t>환경정보화기반구축(정보화)</t>
  </si>
  <si>
    <t>&lt;환경공간정보 구축사업&gt; - (국정과제 38. “국토공간의 효율적 성장전략” 지원) 고정밀 전자지도를 활용한 토지피 복지도를 현행화하여 환경문제 해결에 기초자료로 활용 예정 - (제7차 국가공간정보정책 기본계획) 누구나 쉽게 활용할 수 있는 공간정보자원 유통/활용 활성화를 위한 공간정보 공유체계 대국민 서비스(환경공간정보 서비스/환경공간정보 공유포털) - (토지피복지도 활용분야) 국토환경성평가지도, 생태자연도, 도시생태현황도*, 소규모 영향평가 등 분야 기관 활용내용 환경보전및 생태자연도 환경부 •국토환경성평가지도참고자료 •토지이용.토지이용변화매트릭스구축시토지이용변화지도구 축에활용 •국가온실가스인벤토리보고서및BTR보고서내습지의통 계자료산정을위한습지경계지도기초자료로활용 국립생태원 •DMZ 일원생태계보전대책및공간관리방안연구사업의보 호지역평가및제안을위한자료분석 •생태계변화및생태계서비스평가연구사업생태계서비스평가 •생태계기후대응통합정보관리시스템구축생태리스크분석예 측을위한자료 •생태계서비스지불제대상지확대를위한후보지역도출 •자연환경종합GIS-DB 구축및생태·자연도기초자료 재해취약성분석 김포시청 •김포시토지적성평가및재해취약성분석 파주시청 •자연재해예방및저감을위한우수유출저감대책수립</t>
  </si>
  <si>
    <t>환경행정 정보서비스 구축(정보화)</t>
  </si>
  <si>
    <t>○(행정정보시스템 통합유지관리) 기후에너지환경부 직원들의 중단 없는 행정업무 처리지원을 위해 이지샘터, 민원포털, 성과관리 등 행정정보시스템을 전문기술 및 인력을 보유한 전문 업체에 통합유지관리하기 위함 ○(행정정보시스템 기능개선) 직원들의 행정업무 지원 및 대국민서비스를 위한 행정 정보시스템에 대해 급변하는 환경행정 변화에 대응하도록 지속적인 기능개선 및 보강 ○(환경정보화 거버넌스) 기후에너지환경부 소관 차원 디지털 혁신계획 마련을 위한 제1차 기후에너지환경 환경정보화기본계획(‘27~’31) 수립 필요 2024 2025 2026 예산 예산액 (추경) 예산 현액 집행액 [실집 행액] 이월액불용액본예산 예산 현액 집행액 [실집 행액] 전년도 이월액 제외 이월 예상액 불용</t>
  </si>
  <si>
    <t>농림축산식품부</t>
  </si>
  <si>
    <t>AI응용제품 신속 상용화 지원사업(농업)</t>
  </si>
  <si>
    <t>AX기반지능형농작업협업산업화기술개발(R&amp;D)</t>
  </si>
  <si>
    <t>K-수직농장세계화프로젝트(R&amp;D)</t>
  </si>
  <si>
    <t>○식량안보 위협, 경지면적 감소, 기후위기 심화 등 글로벌 현안에 대한 해결 수단으로서, K-수직농장 구축 및 국내외 확산 지원 - (수익창출모델개발) 농촌 유휴공간·시설 활용 및 보급형 핵심기술 접목·실증을 통한 경영비 절감형 고수익창출 모델 개발 - (K-수직농장 수출 모델 개발) 수출 대상국 현지 환경에 적합한 수직농장 핵심기술의 실증·최적화를 통해 맞춤형 모델 개발</t>
  </si>
  <si>
    <t>검역본부정보화(정보화)</t>
  </si>
  <si>
    <t>- 안전한 농축산물 공급을 위해 동축산물․식물검역, 가축방역, 축산물 안전, 동물보호, 동물용 의약품 관리, 수입쇠고기․돼지고기 유통이력 관리 등 농림축산검역본부 고유 업무 정보화 - 정보시스템 구축 운영을 통한 업무 효율성 제고 및 대국민 서비스 수준 향상</t>
  </si>
  <si>
    <t>고부가가치 식품기술개발(R&amp;D)</t>
  </si>
  <si>
    <t>- (고부가가치식품기술개발) 식품산업을 견인할 K-Food 핵심 기술경쟁력 확보 및 산업화 기술개발 지원으로 식품산업 생산성 제고 및 경쟁력 강화 - (미래대응식품) 미래 식품 시장 선점을 위해 질환 관리식, 특수·대체식품 등 융·복합 식품 분야 기술개발 지원 - (식품 품질안전) 식품 품질·안전 관리 개선을 위한 가공·관리기술, 친환경·기능성 식품 포장 기술 개발 등 안심 먹거리 공급을 위한 핵심 기술 개발 추진 - (차세대 식품가공) 식품산업 가치사슬 내 경쟁력 확보에 필수적인 주요 소재 개발, 식품 생산 관련 부품, 설비 국산화 등 차세대 식품 제조 기술개발 지원 - (글로벌 푸드테크 공동연구) 푸드테크 분야 중 10대 핵심기술에 대한 글로벌 격차 해소를 위한 해외기업, 연구소, 대학 등과의 글로벌 공동연구 지원 - (스마트 유통관리) 농식품 지능형 저장·수급, 품질관리 기술개발 및 유통·소비 전주기 데이터 활용 강화를 위한 연계 체계 구축 - (물류유통 자동화) 신선 농산물 물류·유통 분야에 자율주행 로봇 등 첨단 기술 접목을 통해 APC 및 물류센터 자동화·스마트화 - (커스텀푸드 스마트생산기술개발) 산업 경쟁력 강화를 위해 ICT‧AI‧로봇 등 융합 기술을 통한 식품 제조 분야의 생태계 고도화 기반 확보 - (5G기반 식품안전생산기술개발) 중소 식품업 현안 해결을 위해 5G 기반의 고효율· 저비용 식품 생산·제조 등 스마트 식품 공장 원천기술 개발 및 실증</t>
  </si>
  <si>
    <t>국가 농업 AX플랫폼</t>
  </si>
  <si>
    <t>- (국가 농업 AX 플랫폼) 민·관 공동 출자를 통해 선도 사업 SPC(스마트팜(온실·축사), 농작업 대행센터, AI 농업 플랫폼 서비스 등)를기획·출자하여 국가 농업 AX 플랫폼 구축</t>
  </si>
  <si>
    <t>농업농촌국민체감AX전환기술개발(R&amp;D)</t>
  </si>
  <si>
    <t>반려동물난치성질환극복기술개발(R&amp;D)</t>
  </si>
  <si>
    <t>○첨단 바이오 기술을 융합한 펫테크 기술로 반려동물 난치성 질환 치료기술 개발을 통한 고부가가치 펫헬스케어 산업 육성 및 국내·외 시장 개척 - (첨단바이오 기반 주요 난치성 질환 맞춤형 치료기술 개발) 반려동물 암, 신부전, 퇴행성 질환 등 주요 난치성 질환에 첨단바이오 기술을 적용한 혁신적 맞춤형 치료기술 개발 지원 - (첨단기술 기반 주요 난치성 질환 정밀진단기술 개발) 첨단바이오·디지털 융합기술을 활용한 주 요 난치성 질환 조기진단 및 증상 완화를 위한 정밀진단기술·질병관리 서비스 모델 개발 지원</t>
  </si>
  <si>
    <t>스마트팜다부처패키지혁신기술개발(R&amp;D)</t>
  </si>
  <si>
    <t>○농업 인구 감소 및 고령화에 따른 국내 농업경쟁력 약화에 대응하고 저투입·고효 율 중심의 스마트팜 기술 개발 및 고도화를 통한 농업 경쟁력 제고 - (스마트팜 실증·고도화 연구) 농업 지속가능성 및 스마트팜 글로벌 경쟁력 확보를 위해 2세대 스마트팜 현장 적용성 검증·실증 저변 확대를 위해 대학, 정출연, 기업 등을 대상으로 지원 - (차세대 융합·원천기술 연구) 스마트팜의 원천기술 개발 및 확산 등을 통해 지속가능한 농업을 구현하고 최첨단 기술과의 융합을 위한 기술개발로 대학, 정출연, 기업 등을 대상으로 지원</t>
  </si>
  <si>
    <t>농촌진흥청</t>
  </si>
  <si>
    <t>AI기반작물모니터링및진단플랫폼개발(R&amp;D)</t>
  </si>
  <si>
    <t>국경이동성해충의국제발생예측및방제기술개발(R&amp;D)</t>
  </si>
  <si>
    <t>- (국경 이동성 해충의 국제 발생 예측 및 방제기술 개발) 국경 이동성 해충의 국내 유입 가능성 평가 및 선제적 방제 기술 기반 구축을 위해 국제 표준화된 예찰, 국가 간 이동 예측 및 국내 유입 위험도가 높은 해충에 대한 방제 기술 개발 2024 2025 2026 예산 예산액 (추경) 예산 현액 집행액 [실집 행액] 이월액불용액본예산 예산 현액 집행액 [실집 행액] 전년도 이월액 제외 이월 불용 예산 현액 집행액 [실집 행액] ○기능별 분류(합계)</t>
  </si>
  <si>
    <t>농업기술정보화(정보화)</t>
  </si>
  <si>
    <t>○(농업기술정보화) 청의 연구개발 사업, 농촌지도 사업 등 핵심 업무의 체계적인 관리 및 농업기술의 효율적인 대국민 보급을 위한 정보시스템의 기획·구축·운영·유지관리 - (맞춤형 농업기술 콘텐츠 확충) 우리 청 농업기술을 동영상 형태로 제공하여 농업인, 귀농․귀촌 희망자, 일반인 등이 농업 정보를 쉽게 이해하고 농업 현장에 적용할 수 있 도록 지원하기 위한 콘텐츠 구축 사업 - (농업과학기술정보플랫폼 운영) 과학영농시설, 영농상담, 교육정보 등 농업과학기술 정보를 농업인에게 효율적으로 제공하고 농촌 지도사업 업무를 체계적으로 관리하기 위한 플랫폼 운영 - (치유농업정보망 운영) 치유농업 소개, 치유농업 시설 및 프로그램 안내 등 국민의 건 강 회복‧유지‧증진을 위한 치유농업 정보를 제공하고 치유농업사 자격시험 원서접 수, 문제출제, 합격자 관리 등 시험 관리를 위한 정보시스템 운영 - (차세대 농촌진흥사업 종합관리시스템 운영) 연구과제, 연구장비, 전자연구노트, 연구 성과, 과제평가 등 농촌진흥청 고유연구개발사업 전반의 관리를 위한 시스템 운영 2024 2025 2026 예산 예산액 (추경) 예산 현액 집행액 [실집 행액] 이월액불용액본예산 예산 현액 집행액 [실집 행액]</t>
  </si>
  <si>
    <t>농작업안전관리기술및웨어러블편이장비개발(R&amp;D)</t>
  </si>
  <si>
    <t>- (농작업 안전관리 기술 및 웨어러블 편이장비 개발 사업) 첨단 기술을 활용하여 안전한 농작업 환경을 조성하고 농업인의 재해예방 및 건강권 보장을 통해 국내 노동 노동력의 보존과 지속 가능성 향상 2024 2025 2026 예산 예산액 (추경) 예산 현액 집행액 [실집 행액] 이월액불용액본예산 예산 현액 집행액 [실집 행액] 전년도 이월액 제외 이월 불용 예산 현액 집행액 [실집 행액] ○기능별 분류(합계)</t>
  </si>
  <si>
    <t>데이터기반농업관측을위한위성영상활용기술개발(R&amp;D)</t>
  </si>
  <si>
    <t>- (데이터기반농업관측을위한위성영상활용기술개발) 기후위기 대응 광역적·과학적 농 작물 작황 및 농업재해 대응 분석, 농업환경자원 상시 관측 등 농산물 안정 생산 및 수급 조절, 식량 안보를 위한 농업분야 위성정보 산출물 생산 및 공공 서비스 제고 - (위성기반농업관측기술개발) 위성영상을 활용한 작황 모니터링, 농경지 변화 감시, 재해 대응, 해외 작황 분석을 포함한 핵심 기술 개발 2024 2025 2026 예산 예산액 (추경) 예산 현액 집행액 [실집 행액] 이월액불용액본예산 예산 현액 집행액 [실집 행액] 전년도 이월액 제외 이월 불용 예산 현액 집행액 [실집</t>
  </si>
  <si>
    <t>- (스마트팜다부처패키지혁신기술개발) 농업 인구 감소 및 고령화에 따른 국내 농업 경쟁력 약화에 대응하고 저투입·고효율 중심의 스마트팜 기술 개발 및 고도화를 통한 농업 경쟁력 제고 - (스마트팜 실증·고도화 연구) 농업 지속가능성 및 스마트팜 글로벌 경쟁력 확보를 위해 2세대 스마트팜 현장 적용성 검증·실증 저변 확대를 위해 대학, 정출연, 기업 등을 대상으로 지원 - (차세대 융합·원천기술 연구) 스마트팜의 원천기술 개발 및 확산 등을 통해 지속가능한 농업을 구현하고 최첨단 기술과의 융합을 위한 기술개발로 대학, 정출연, 기업 등을 대상으로 지원 - (사업단 운영비) (재)스마트팜연구개발사업단의 원활한 운영 및 연구과제 평가 관리 등을 위한 사업단 운영비 지원</t>
  </si>
  <si>
    <t>지능형농업로봇핵심기반기술개발(R&amp;D)</t>
  </si>
  <si>
    <t>- (지능형 농업 로봇 핵심 기반기술 개발) 농작업환경 특성 및 효율적 농작업 수행을 위한 농업로봇 핵심기반 기술 및 지능형 농작업 요소기술 개발 - (AI기반 농업용 로봇 지능형 농작업 요소기술 개발) 농업환경(논, 밭, 과수 등) 특성에 따른 농업용 로봇을 위한 센서융합 기술, 로봇 플랫폼, 시각 지능화 기술 및 농작업자 행동특성 모방 학습형 제어 요소기술 개발 2024 2025 2026 예산 예산액 (추경) 예산 현액 집행액 [실집 행액] 이월액불용액본예산 예산 현액 집행액 [실집 행액] 전년도 이월액 제외 이월 불용 예산 현액 집행액 [실집</t>
  </si>
  <si>
    <t>특용작물유래천연활성바이오소재생산및활용기술개발(R&amp;D)</t>
  </si>
  <si>
    <t>대법원</t>
  </si>
  <si>
    <t>등기업무전산화(정보화)</t>
  </si>
  <si>
    <t>- 등기업무시스템을 안정적이고 효율적으로 운영하여 국민의 신뢰를 확보하고, 지식 정보화시대에 맞게 국제적 경쟁력을 갖춘 시스템으로 고도화하여 국민 편익 증진에 기 여하고자 함 - (등기시스템 운영 및 유지관리) 등기시스템의 안정적·효율적 운영 및 무중단 대국민서비스를 위해 25개 등기응용시 스템의 유지보수 및 기능개선, 등기정보시스템 전산장비 유지보수 등을 수행 - (다면등기기록 등 해소 사업) 다면등기, 중복등기, 원시오류등기 등 부적합 등기기록의 지속적 정비를 통한 등기의 공시기능 향상 및 등기소 업무처리 개선 - (전자이미지 등기기록 주민등록번호 음영화) 폐쇄등기부 등 전자이미지 등기기록의 주민등록번호 음영화를 통한 국민의 재산권에 대한 등기기록 내 개인정보보호 강화 - (정보화진단(보안컨설팅)) 등기정보시스템에 대한 보안 취약점 등을 사전 진단하여 보안사고 사전 방지 및 예방 - (등기시스템 감리) 등기정보시스템 유지관리 효율성 향상 및 안정성 확보를 위하여 추진 - (등기시스템 고도화 기반 구축) ‘제4차 등기특별회계(2018~2027)의 성과 및 향후과제(한국행정연구원)’ 연구용역에서 제시된 미래과제를 중심으로 정보화전략계획(ISP) 추진</t>
  </si>
  <si>
    <t>사법업무 전산화(정보화)</t>
  </si>
  <si>
    <t>- (사법업무시스템 구축) · 사법업무시스템 기능개선, 재판서 및 사건부 DB 구축, AI 기반 재판·양형 플 랫폼, 그룹웨어·법원기록물 통합관리·법관연수관리 시스템 구축을 통해 사법 부 업무 효율성과 대국민 서비스를 향상 - (사법정보화 기반 구축) · 정보보호컨설팅, 노후 전산장비 교체 및 신규 전산장비 확충, 망분리 구축, 정 보시스템 감리, 공공요금(전용회선비 등 운영비) 등을 통해 사법부의 정보통 신 인프라를 안정화하고 신뢰성 높은 디지털 환경을 조성 - (각급법원 정보화기반 구축) · 각급 법원 전산망 구축, 노후 전자법정 개선, 노후 사무용 전산장비 교체, 신 규 사무용 전산장비 및 소프트웨어 구입을 통해 각급 법원의 정보화 인프라 를 업그레이드하여 재판 업무의 신속성과 접근성을 강화 - (영상재판/화상회의 등 관련 시스템 기반 구축) · 영상재판 및 화상회의 장비의 성능 개선과 확충을 통한 원격 재판·회의 환경 고도화로 국민의 사법 서비스 접근 편의성과 운영 효율성 제고 - (사법정보시스템 운영 및 유지보수) · 데이터센터 전산장비 운영·유지보수, 보안관제, 사용자지원센터 운영, 사법업 무시스템 유지관리, 각급법원 전산장비 운영·유지보수를 통해 사법정보시스템 의 안정적 운영과 지속적 성능 유지를 지원</t>
  </si>
  <si>
    <t>문화체육관광부</t>
  </si>
  <si>
    <t>4차산업혁명대비 국어빅데이터 구축</t>
  </si>
  <si>
    <t>ㅇ (4차산업혁명대비 국어 빅데이터 구축) - 한국어를 잘하고, 한국언어문화를 잘 이해하는 한국형 인공지능(AI) 기술 개발 및 연구에 필요한 고품질 한국어 말뭉치를 구축‧배포하여 인공지능 기술 발전의 기반 마련 ㅇ (인공지능 관련 언어능력 평가체계 개발) - 한국어 글쓰기 능력 진단체계 개발을 통해 일반 국민의 글쓰기 능력 향상 도모 ㅇ (한국언어문화 인공지능 지식 자원 구축 및 확장) - 한국어‧한국문화 말뭉치 및 디지털 자원 구축을 통한 한국어 데이터 주권 수호와 AI 문화 한류 기반 조성</t>
  </si>
  <si>
    <t>AI기반 관광 혁신 기술개발(R&amp;D)</t>
  </si>
  <si>
    <t>개인운동기록 활용 기술개발(R&amp;D)</t>
  </si>
  <si>
    <t>(1) (개인운동기록 활용 기술개발(R&amp;D)) ①(스포츠 데이터 표준 기술 개발) - 스포츠 데이터 표준개발로 의료데이터에 스포츠 데이터 제공 및 데이터 활용성, 관리 효율성 극대화를 목적으로 추진하는 사업 - (직접 수혜자) 스포츠 지도사, 헬스케어 플랫폼 기업, 의료기관 - (간접 수혜자) 스포츠 참여자, 스포츠 테크 기업, 보험사 ②(한국형 스포츠 활용형 AX 기술개발) - PSR 기반의 체계적 운동 관리 및 의사결정을 지원하고 개인운동 효과성 증진 및 만족도 향상을 목적으로 추진하는 사업 - (직접 수혜자) 일반국민, 운동 전문가 및 트레이너, 스포츠 서비스 기업 - (간접 수혜자) 의료기관, 공공체육시설 운영기관, 정책기관 ③(개인운동기록 융합 서비스 실증) - 첨단 AI 기술을 활용한 맞춤형 건강 관리 서비스 제공 및 데이터 기반의 건강증진, 운동 효과성 증대를 목적으로 추진하는 사업 - (직접 수혜자) 운동 참여자, 스포츠 코치, 헬스케어 기업 - (간접 수혜자) 민간 운동시설, 정책기관, 스포츠테크 기업</t>
  </si>
  <si>
    <t>국학진흥 정책기반 조성</t>
  </si>
  <si>
    <t>ㅇ (국학진흥 정책기반 조성) - (국학자료 수집 및 연구) ․(목적) 문화재 정책의 사각지대에서 훼손·멸실 위기에 있는 전통기록유산을 비롯한 민간소장 국학 자료에 대한 체계적인 조사․연구를 통해 국학 자료를 과학적으로 보존하고, ․민족의 자산으로 발전·계승 ․(내용) 권역별(영남, 호남, 충청, 강원) 국학자료 수집·조사·보존 및 연구 - (국학자료 활용 및 확산) ․(목적) 접근성이 낮은 고서, 고문서 등 국학자료의 활용성 증대 및 전통기록유산의 해외 활성화를 통해 한국 전통문화의 확산 ․(내용) 국역 및 국학전문인력 양성, 국학자료 DB구축 및 콘텐츠 개발, 전통문화 활용 및 보급, 국학분야 인공지능 자동번역시스템 구축, 국학진흥협의체 사업 운영 - (퇴계학 진흥 연구) ․(목적) 퇴계학 전문연구 심화, 학문 후속세대 양성 및 사전편찬 학술연구 등 퇴계 정신선양을 통한 대국민 인문정신문화 함양 및 퇴계학 대중 접근성제고 ․(내용) 퇴계학 사전편찬 학술연구, 퇴계학 조사 연구, 퇴계학 국제학술대회 등</t>
  </si>
  <si>
    <t>문화공간 AX 전환을 위한 차세대 Culture Tech 기술개발(R&amp;D)</t>
  </si>
  <si>
    <t>- (문화공간 AX 전환을 위한 차세대 Culture Tech 기술개발(R&amp;D)) 공공문화공간의 AX 전환을 통한 문화체험 가치 극대화 및 문화공간의 지속가능성 확보 - (공공문화시설 차세대 CT 기술개발) 도서관, 박물관 등을 대상으로 AI 기반 방문자 분석을 통한 개인화된 콘텐츠 제공, 실공간 위의 지능형 공간컴퓨팅, 상호간의 콘텐츠 공유·협업 기술 개발</t>
  </si>
  <si>
    <t>문화기술 전문인력양성(R&amp;D)</t>
  </si>
  <si>
    <t>- (문화기술 전문인력 양성(R&amp;D)) 콘텐츠 장르(게임, 영화·애니, 방송·OTT, 음악, 공연, 전시 등)와 첨단기술을 결합한 교육(과정) 운영 지원 및 R&amp;D 인력 교류 체계 마련을 통한 미래 콘텐츠 산업을 선도하는 융복합 R&amp;D 전문 인재 양성 - (장르별 문화기술 전문인력 양성) 문화콘텐츠 장르(게임, 영화·애니, 방송·OTT)와 최첨단 기술을 결합한 다학제 교육과정 및 기술개발 지원(산·학·연 R&amp;D 관련 기관)</t>
  </si>
  <si>
    <t>문화예술 온톨로지 기반 LLM연계 기술개발(R&amp;D)</t>
  </si>
  <si>
    <t>- (문화예술 온톨로지 기반 LLM연계 기술개발(R&amp;D)) 한글기반 문화예술 디지털전환 기술 개발을 통해 번역 과정에서의 언어적·문화적 차이를 최소화하고, 한국 문화콘텐츠의 글로벌 접근성과 공감도 제고 및 전 세계적 한글 문화지형 확산 - (한국 문화예술 디지털 전환 기반 구축(DX)) 글로벌 콘텐츠 시장 수요를 기반으로 국내 콘텐츠 산업의 성장을 위해 문화예술 자료를 수집하여 체계적인 데이터셋 구축 및 기초 데이터 확보 기술개발</t>
  </si>
  <si>
    <t>신기술융합콘텐츠산업 육성</t>
  </si>
  <si>
    <t>- (신기술 융합콘텐츠산업 육성) 신기술을 문화예술·콘텐츠 장르에 연계, 관련 산업을 육성하여 선도 비즈니스 모델을 창출하고 대국민 문화향유 확산 - (신기술융합콘텐츠 향유 인프라 조성) 신기술융합콘텐츠 체험 공간 운영 및 콘텐츠 제공을 통해 대국민 문화향유 증진 ･(장애인 대상 신기술융합콘텐츠 드림존 조성) 장애인 대상 신기술융합콘텐츠 거점을 조성하여 취약계층의 문화향유 증진 및 접근성 제고 ･(신기술융합콘텐츠 체험 거점 운영) 문화·관광 자원이 집약된 주요 거점에 조성된 신기술 융합콘텐츠 체험 공간 운영을 통한 내외국인 관람객의 문화향유 제고 ･(신기술융합콘텐츠 기업지원 인프라 운영) 신기술융합콘텐츠 분야 기업의 성장을 위한 최적의 인프라 및 비즈니스 지원을 통한 성장 발판 마련 - (인공지능 콘텐츠 제작 지원) 인공지능 기술 활용 콘텐츠(게임, 애니메이션, 이종산업 연계 등) 제작 지원 및 인공지능 페스티벌 개최를 통한 콘텐츠산업 경쟁력 확보 - (융복합 특수영상 클러스터 조성) 특수영상 콘텐츠의 기획-제작-후반작업 등 Total Solution 제공이 가능한 특화 클러스터 조성 - (K-락 디지털 스페이스 조성) 지역민과 관광객이 체험·전시·관람할 수 있는 디지털 콘텐츠 향유 공간 조성</t>
  </si>
  <si>
    <t>인공지능 기반 공연예술 안전환경 구축 핵심기술개발(R&amp;D)</t>
  </si>
  <si>
    <t>- (인공지능 기반 공연예술 안전환경 구축 핵심기술 개발(R&amp;D)) 안전한 공연·관람을 위해 문화공간 및 공연장 안전 취약 요인을 제거하고, 시설 안전 인프라 구축으로 전 국민의 안전한 문화예술 향유 도모(산·학·연 R&amp;D 관련 기관) - (사전 안전사고 예측 및 방지 기술개발) 안전사고 사전 예측 및 방지를 위한 이동 경로 추적 기술, 광학식 기반의 공연자 및 작업자 실공간 위치 추적 기반의 증강 현실 안전 관리 플랫폼 기술개발(산·학·연 R&amp;D 관련 기관) - (공연시설 안전 관리 기술개발) 공연시설·무대장치․가설무대의 안전 시뮬레이션 및 안전 설계 서비스 플랫폼 확보 및 고장 진단 플랫폼 등 기술개발(산·학·연 R&amp;D 관련 기관) - (공연안전 글로벌 표준화 기술개발) 공연장 및 공연 공간에서 상부․하부․특수효과 장치 안전사고 방지를 위한 안전 표준 기술(산·학·연 R&amp;D 관련 기관)</t>
  </si>
  <si>
    <t>저작권 및 AI 산업 상생협력 지원</t>
  </si>
  <si>
    <t>저작권보호활동 활성화</t>
  </si>
  <si>
    <t>한국문화정보원 운영(정보화)</t>
  </si>
  <si>
    <t>- (문화정보화 전담기관 운영 지원) ․한국문화정보원 운영에 필요한 정규직(무기계약직 포함) 인건비 및 경상비 지원으로 문화정보화 전반의 정보화 기획, 연구개발, 사업관리·운영 등을 종합적·체계적으로 수행하고 중복 투자 방지를 통한 문화정보화 사업의 효율성 제고 - (문화정보서비스 운영지원) ․문화정보서비스 이용활성화 : 기관별 분산되어 있는 문화, 체육, 관광 등의 다양한 문화정보를 체계적으로 분류하여 문화포털에 서비스함으로써 국민의 문화정보 활용ㆍ향유 지원 ․문화PD 운영 및 청년 일자리 활성화 : 지역 곳곳의 다양한 디지털 문화현장 및 문화기술 등에 관한 문화정보화 영상 제작을 통해 문화정보서비스 및 영상 제작 관련 청년 활동 기반 마련 ․문화정보서비스 통합 모니터링 : 문체부 소속·산하기관 대상 통합지원을 통한 대 국민 문화정보 웹사이트 품질향상 지원 ․문화정보자원 통합유지관리 : 문화정보서비스의 안정적 운영을 위한 HW 및 상용 SW 등 정보자원에 대한 유지보수 지원 - (문화정보화 기반구축) ․문화정보화 관련 정책연구 및 전략기획을 통해 문화체육관광 분야 정보화 정책 수립 지원, 문화정보서비스 만족도, 기관 만족도, 사업관리 업무, 공모전 및 포럼을 운영하여 대국민 문화 디지털 혁신 인식 제고 기여 ․문체부 및 소속·공공기관 정보화 담당자 간 문화정보화 협의회 구성 및 운영지원 통해 정보 공유 및 협력체계 지원 강화 - (문화데이터 개방체계 구축) ․산업 활용 문화데이터 구축 : 문화데이터가 산업적으로 활용될 수 있도록 산업 데이터 구축 지원, 가이드라인을 수립 및 제공으로 여러 공공기관에서 양질의 산업 활용 문화데이터를 구축할 수 있도록 지원 ․공공문화정보 데이터 품질관리 및 연계, 시스템 위탁운영 및 유지보수 ․문화데이터 개방 및 민간이용 활용 : 문화공공데이터 활용 경진대회 개최, 문화데이터 활용기업 사업화 지원, 교육지원 등 국민의 참여를 높이고 문화데이터 이용 활성화 도모 ․문화빅데이터 플랫폼 구축 및 운영 : 문화 분야의 공공ㆍ민간 빅데이터 생산·수집· 가공·유통을 통한 데이터 유통거래 기반 제공 및 빅데이터 활용생태계 조성</t>
  </si>
  <si>
    <t>방송미디어통신위원회</t>
  </si>
  <si>
    <t>- (디지털미디어이노베이션기술개발) 방송미디어의 이용행태 변화(OTT, 개인맞춤 등)와 AI⸱디지털 접목 수요에 대응하기 위해 방송미디어 산업 혁신 및 기술경쟁력 확보 구분 내역사업별 목표 내역 1 미디어지능 화제작핵심 기술개발 ▪(미디어 제작 효율화) 미디어 제작에 AI 기술을 활용하여 제작혁신(제작비↓, 제작품질↑)을 통한 제작비 인플레이션 대응 및 손쉬운 제작을 통한 시장참여자 확대 As-is To-be · 미디어‧콘텐츠 제작비 인플레이션 심화 · 글로벌 진출(대상국 시청각 규제)에 따른 재편집 · 몰입‧입체형 콘텐츠 확산(구글-삼성의 스마트안경) ⇨ · AI 기반 영상편집, 디지털휴먼 생성, 특수효과(VFX) 생성‧합성▶제작비 감소 · 맥락을 유지한 프롬프트‧음향, 입체미디어 생성▶제작품질‧표현력 향상 내역 2 마이미디어 플랫폼핵심 ▪(개인화 미디어 서비스 확보) 개인화를 지향하는 신규 방송‧미디어 서비스 발굴로 플랫폼의 기술 경쟁력과 시장규모 확대</t>
  </si>
  <si>
    <t>방송콘텐츠 진흥</t>
  </si>
  <si>
    <t>안전한 AI 활용 기반 조성</t>
  </si>
  <si>
    <t>- (안전한 AI 활용 기반조성) 많은 국민이 이용하는 인공지능 서비스(AI)의 환각, 비 윤리성, 권리 침해, 범죄 악용 등 위험성·역기능을 제보받는 플랫폼을 운영해 안전한 AI 활용 기반 조성 - (생성형 AI 이용자 참여 플랫폼) AI 위험성에 대한 이용자 참여 플랫폼을 운영하여 위험성에 대해 제보받아 사업자와 이용자 간 리스크 커뮤니케이션으로의 정책적 교두보 역할을 통해 이용자의 권익을 강화하고 인공지능 서비스 역기능 피해 방지</t>
  </si>
  <si>
    <t>지능정보사회 이용자보호 환경조성</t>
  </si>
  <si>
    <t>- (지능정보사회 이용자보호 환경조성) 인공지능, 메타버스 등 지능정보기술과의 융합 으로 방송통신망의 적용 범위가 확장·다변화됨에 따라 변화하는 이용자 범위를 예측 하고, 선제적인 이용자 보호 정책 방안 마련 - (경험적 근거마련을 위한 조사·연구) 신기술의 사회적 위험과 기회, 이용자 권리 침해 가능성과 정부 개입의 필요성 등에 대한 경험적 근거 마련 ž 다년간에 걸친 전국 규모 패널조사 및 분석을 통해 지능정보서비스에 대한 이용자의 사용경험과 권리에 대한 인식 조사 - (정책네트워크 구성·운영) 다양한 이해당사자(사업자·이용자·국제사회 등)와의 지속적인 협의를 통해 의견수렴 및 정책의 현장 적용을 위한 네트워크 구축 ž 학계·산업계·시민·공공부문이 참여하는 민관협의회를 구성·운영하여 지능정보사회 이용자 보호 방안에 관한 논의 활성화 및 실효적인 이용자 정책 수립의 토대 마련 ž 컨퍼런스를 개최하여 인공지능 서비스 일상화에 따른 역기능 대응 방안과 이용자 보호 정책 성과를 대외에 공유하고 시민 토론의 장을 마련하는 등 공론화 기능 수행 ž 경험적 데이터를 민간에 공유하여 지식 재생산 및 활성을 촉진하고, 의견 제시를 위한 환류 창구로서 국민참여·지식공유 플랫폼 운영 - (지능정보사회 이용자 보호 정책개발) 인공지능 시대 방송·통신 환경의 변화상 및 변인을 분석하여 이를 토대로 이용자 정책 패러다임을 설정하고 시의적인 이용자 정책 수립 및 법·제도 정비 추진 ž 인공지능 서비스의 보편화 단계에서 사각지대 없이 이용자 권리를 보호하는 정책 수립을 위해 지능정보기술 활용에 따른 다면적 파급력을 실증적으로 검토하고, 이를 토대로 이용자 정책 패러다임의 방향성 제시 ž 인공지능 서비스의 다변화된 기능과 영향에 따른 이용자 보호 현안을 검토하고, 이용자 권익 보호와 서비스 혁신을 조화롭게 달성하기 위한 선도적 이용자 정책 수립 및 법적·자율적 규율 방안 도출 - (신기술환경 메타버스 이용자보호 실태조사) 인공지능, 공간 컴퓨팅 등 가상융합기술 발전으로 다양해진 메타버스 서비스 및 콘텐츠 내 이용자 권익 침해를 방지하고, 안전한 서비스 이용 환경을 조성하기 위한 메타버스 사업자·이용자 실태조사 실시</t>
  </si>
  <si>
    <t>방위사업청</t>
  </si>
  <si>
    <t>국방AI선도 연구협력(R&amp;D)</t>
  </si>
  <si>
    <t>법무부</t>
  </si>
  <si>
    <t>검찰업무정보화(정보화)</t>
  </si>
  <si>
    <t>□검찰업무정보화(정보화) - (형사사법절차 전자화) 형사사법절차 전자화 촉진으로 수사역량 강화, 신속하고 공정한 수사를 통한 국가 형벌권 강화 지원 2024 2025 2026 예산 예산액 (추경) 예산 현액 집행액 [실집 행액] 이월액불용액본예산 예산 현액 집행액 [실집 행액] 전년도 이월액 제외 이월액불용액 예산 현액 집행액 [실집 행액] - 일반연구비(260-01) 2,375</t>
  </si>
  <si>
    <t>법률구조</t>
  </si>
  <si>
    <t>- (법률구조기구 관리 및 연계강화) 국민들이 법률구조 서비스 혜택을 보다 쉽고 편리 하게 받을 수 있도록 다양한 법률구조 기구·제도들을 체계적으로 관리하고 기구·제도간 유기적인 연계를 강화 - (대한법률구조공단) 경제적 어려움 및 법률지식의 부족으로 법의 보호를 충분히 받지 못하는 사람에게 법률상담, 소송대리, 기타 법률사무(법계몽 및 법교육사업 등)에 관한 지원을 함으로써 기본적 인권 옹호 및 법률복지 증진 - (가정복지관련 법률구조) 사회적 소외계층을 위하여 가정법률 분야의 법률상담, 조정 화해, 대서 및 소송구조 등의 법률구조 서비스를 무료로 제공하여 약자의 인권옹호와 국민의 법률복지 증진에 이바지함 - (기타 법률구조 기구) 대한법률구조공단, 법원 소송구조 및 기타 유관기관이 담당하지 못하는 사각지대의 사건에 대해 보완적 역할을 수행함으로써 다양한 계층과 사건에 법률구조 서비스 제공하여 법률복지 증진에 이바지함</t>
  </si>
  <si>
    <t>법무행정정보화(정보화)</t>
  </si>
  <si>
    <t>- (법무행정정보화(정보화)) 법무부 주요 정보시스템(내부포털, 보호관찰, 소년보호, 교정정보, 법무연수원 등) 구축·운영관리 및 소속기관(204개) 전산장비·정보통신망· 정보보안 관리 - (법무정보·사이버보안시스템 운영) 법무정보시스템은 내부포털시스템, 대표홈페이지, e-Learning시스템 등으로 구성되어 법무부 직원들이 사용하는 업무시스템으로 공통 업무 및 대국민서비스를 지원하고 있으며, 사이버보안시스템을 운영하고 있는 법무 사이버안전센터는 본부 및 204개 소속기관의 정보시스템, PC 및 네트워크의사이버공격에 대한 분석·탐지(보안관제) 등을 위한 시스템 구축·운영을 지원 - (범죄예방정보시스템운영) 범죄예방정보시스템은 보호관찰기관, 소년보호기관, 국립 법무병원에서 사용하는 업무시스템으로 보호관찰대상자, 소년보호대상자 및 관련 내부업무, 민원서비스 등에 대한 포괄적인 업무를 지원 - (교정정보시스템 운영) 교정정보시스템은 교정기관에 수용된 수용자의 입소에서 출소 까지 전반적인 교정행정업무 관리를 위해 교정직원, 수용자 및 대국민을 대상으로 관련 내부업무 및 민원서비스 등에 대한 업무를 지원 - (법무정보화 기반 운영) 법무정보화 기반 운영 사업은 법무부 본부 및 204개 소속 기관의 정보통신망, 정보보안 및 전산장비 운영·유지관리를 통해 고객 중심의 법무 행정 지원 기반 강화를 지원 - (정보화사업(ISP포함)) 인공지능, 빅데이터, 클라우드, IoT 등 지능정보기술을 적용한 법무서비스 제공을 통해 체계적인 법무행정 업무수행 및 사회 안전망 구축 마련을 위한 정보화전략 계획 수립 및 정보화 사업 수행을 지원</t>
  </si>
  <si>
    <t>재범징후의 선제적 감지 및 대응력 강화기술 연구개발사업(R&amp;D)</t>
  </si>
  <si>
    <t>□재범징후의 선제적 감지 및 대응력 강화사업(R&amp;D) - (목적) 전자감독 대상자의 재범위험으로부터 국민의 불안을 해소하고 사회 안전을 강화하기 위해, AI를 활용한 재범 예측 시스템 개발 - (내용) 2개 내역사업으로 구성, 4년간(2024~2027년) 개발 계획 · (강력범죄 재범 예측·대응 신기술 개발) 전자감독 대상자에 대한 각종 데이터의 융합·분석을 통해 대상자의 재범 위험도를 실시간 예측하여 보호관찰관의 신속한 대응을 돕는 AI 기술을 개발 · (AI 기반 전자감독 통합시스템 개발) 재범 예측 AI의 정확성을 높일 수 있도록 여러 전자감독 시스템에 분산되어있는 전자감독 대상자의 데이터를 체계적으로 연계·관리하여 AI의 학습을 돕는 통합시스템(DB)을 구축</t>
  </si>
  <si>
    <t>첨단범죄및디지털수사(정보화)</t>
  </si>
  <si>
    <t>- 첨단범죄및디지털수사(정보화) - (첨단범죄수사 운영 및 지원) 범죄증거의 디지털화 및 사이버범죄의 증가에 신속· 효율적으로 대처하기 위하여 국내 수사·조사기관을 대상으로 첨단범죄 관련 수사 활동을 위해 필요한 제반경비를 지원하는 것임 - (첨단범죄수사 및 분석시스템 유지관리 및 관리용역) 수사 및 공판에서 디지털증거의 증거능력 확보를 위한 원본성·무결성 등 유지를 도모하고, 아울러 피고인의 방어권 보장을 위하여 국내 수사·조사기관을 대상으로 수사 및 재판확정 시까지 디지털 수사지원 절차관리, 증거관리, 증거분석을 지원하는 인프라 시스템의 안정적 운용을 지원하는 것임 - (첨단범죄수사 및 분석시스템 구축) 디지털 증거의 다양화, 대량화 추세에 따라 다종·대량 디지털증거 통합분석의 필요성이 날로 증가하고 있어 이러한 새로운 디지털 매체·기술 발전에 따른 국내 수사·조사기관의 신속·능동적인 대응, 인권 보호를 위한 디지털포렌식 도구 및 분석기법 연구개발 등에 필요한 제반경비를 2024 2025 2026 예산 예산액 (추경) 예산 현액 집행액 [실집 행액] 이월액불용액본예산 예산 현액 집행액 [실집 행액]</t>
  </si>
  <si>
    <t>법제처</t>
  </si>
  <si>
    <t>법제업무정보화추진(정보화)</t>
  </si>
  <si>
    <t>- (국가법령정보 통합검색서비스) 중앙부처, 지방자치단체, 공공기관 등에서 생산하는 법령 정보를 지속적으로 통합 구축하고, 생성형 AI 기술을 도입하여 법령정보 이용 접근성 제고 - (정부입법지원사업) 법령안 입안ㆍ심사, 입법예고 등 법제업무와 국민참여를 전자적 으로 지원하는 정부입법시스템을 안정적으로 운영하고, 정부입법 통합 플랫폼 구축 사업으로 중앙부처 및 지방자치단체의 법제업무와 국민의 입법참여에 대한 효율성 및 편의성 제고 - (찾기 쉬운 생활법령정보서비스) 일반 국민이 보다 쉽게 법령을 이해하여 활용 할 수 있도록 전문가의 시각에서 쓰인 어려운 법령을 쉽고 다양한 방식으로 제공 - (세계법제정보서비스) 우리 국민ㆍ기업이 급변하는 해외 여건에 능동적으로 대처하고 해외 진출 등 경제협력을 활발히 할 수 있도록 각국의 법제정보 제공 - (처내업무 행정정보화 및 사무용 PC 등 구입ㆍ유지보수) 내부 직원들의 효율적인 법제 업무 수행을 전자적으로 지원하고, 외부의 다양한 사이버위협으로부터 내부 정보자원 보호 및 법제업무 수행을 위한 PC, 프린터, 사무용 SW 등을 구매ㆍ유지보수 - (법제교육시스템 운영) 법제교육 과정 확인부터 수료까지의 전 과정을 전산화하여, 법제교육을 효율적으로 지원 - (상용임금 및 운영지원 등) 법제업무정보화추진(정보화)사업을 위한 공무직 직원의 급여 및 일반수용비 등 운영 지원을 위함</t>
  </si>
  <si>
    <t>병무청</t>
  </si>
  <si>
    <t>병무행정정보화(정보화)</t>
  </si>
  <si>
    <t>- 병역판정검사, 현역병 입영‧모집, 사회복무요원 소집‧복무관리, 병력동원‧훈련소집 등 모든 병무행정 업무 정보화를 지원하고, - 정확한 자원관리와 정보시스템의 안정적 운영으로 공정하고 신뢰할 수 있는 병무 행정 수행체계 마련에 필요한 정보서비스를 제공하며, - 민원·행정서비스가 상시 제공되도록 정보보호, 통신 등 정보화 기반 운영성 확보 및 자산의효율적 활용/관리를 지원하는 것임</t>
  </si>
  <si>
    <t>보건복지부</t>
  </si>
  <si>
    <t>AI 모델을 활용한 항체 바이오베터 개발 및 실증(R&amp;D)</t>
  </si>
  <si>
    <t>AI기반수술로봇이노베이션랩구축및활용사업(R&amp;D)</t>
  </si>
  <si>
    <t>AI응용제품 신속 상용화 지원(보건)</t>
  </si>
  <si>
    <t>○ (사업목적) AI를 활용하여 의료기기, 만성질환자‧고위험군 제품 등의 신속한 상용화를 통해 국민 건강증진 및 산업 경쟁력 강화 ○ (사업내용) 의료 AI 상용화 지원 ○ (지원대상) AI를 활용한 디지털 의료제품 개발·제조기업, AI를 활용한 만성질환자‧고 위험군 제품을 제공하는 기업</t>
  </si>
  <si>
    <t>AI응용제품 신속 상용화 지원(복지)</t>
  </si>
  <si>
    <t>ㅇ 고령화, 사회적 고립 등 新 사회적 위기 대응을 위해, AI 기술을 기존 복지서비스에 접목하거나 AI 기반의 신규 복지서비스를 개발하여, 국민이 체감할 수 있는 복지·돌 봄서비스 생태계 조성 - 고령화, 1인가구 증가에 따른 고독사 등 문제 해결을 위한 AI·IoT 기반 심리케어 및 고립 예방 솔루션 개발 - 지역별 인구·수요·환경을 고려한 맞춤형 복지서비스를 안내할 수 있도록 RAG 기술 기반의 상담 솔루션 개발 - 보행, 보청, 수면 등 노인의 일상생활을 지원하기 위한 보행보조차, 수면모니터링 매트 등 고령자 지원기기 개발 - AI 스마트홈 기술을 통해 안전·건강·정서지원 등 서비스를 제공하여 독거노인·장애인의 자립생활 지원 - AI·로보틱스 등 기술을 활용하여 시설 업무를 재설계하고 돌봄 인력 업무부담 경감 및 돌봄 질 향상</t>
  </si>
  <si>
    <t>K-AI 신약개발 전임상·임상 모델개발(R&amp;D)</t>
  </si>
  <si>
    <t>- (K-AI 신약개발 전임상·임상 모델 개발) 후보물질의 전임상-임상 연계를 위한 AI 기 반 신약 개발 임상시험 설계·지원 플랫폼 구축 및 기술개발</t>
  </si>
  <si>
    <t>구조기반 AI신약개발지원(R&amp;D)</t>
  </si>
  <si>
    <t>- (구조기반 AI신약개발 지원) AI 기반 단백질 구조기반 약물 발굴*, 생성형 AI 기술, AI 에 이전트 기술 등을 적용하여 구조기반 약물 발굴 기술개발 및 후보 물질 확보 지원 * 구조기반 약물발굴(Structure Based Drug Discovery): 약물발견, 개발과정에서 특정 생물학적 표적의 3차원 구조를 사용하는 방법</t>
  </si>
  <si>
    <t>국가 통합 바이오 빅데이터 구축(R&amp;D)</t>
  </si>
  <si>
    <t>◦ (국가 통합 바이오 빅데이터 구축) 참여자 동의 기반 검체(혈액·소변 등)를 확보*하고, 임 상·유전체 및 공공데이터 등을 통합·개방하기 위한 R&amp;D 인프라 구축 * 1단계(’24∼’28년) 77.2만명 모집(예타 기준 6,065.8억원) - (내역① 바이오 데이터뱅크 구축·운영) 개인 중심으로 통합된 바이오 빅데이터 구 축 및 동의·수집·보호·활용체계 마련 - (내역② 사업단 운영) 사업 기획, 평가 및 성과관리 등 사업 운영 관리</t>
  </si>
  <si>
    <t>다기관-멀티모달 연합학습 기반 의료인공지능 기술 시범모델 개발(R&amp;D)</t>
  </si>
  <si>
    <t>○ (사업목적) 환자, 의료진 모두가 체감할 수 있고, 현장 수용도가 높은 생성형 AI 기반 의 료서비스 모델 개발 및 다기관 공동 임상현장 적용 ○ (사업내용) 생성형 AI 기반 환자-의료진간 상호작용을 제고할 수 있는 의료서비스 지 원 기술개발 및 다기관 공동활용 임상현장 실증 제고 ① 다기관-멀티모달 연합학습 기반 의료서비스 지원 플랫폼 개발 - 환자-의료진간 상호작용을 통해 획득한 다양한 의료데이터를 기반으로 종합적 의 료서비스 지원을 위한 멀티모달 파운데이션 모델 기술개발 - 의료기관간 데이터 공유 없이 안전하게 AI 학습 및 참여 가능한 연합학습 기반 플랫폼 개발 ② 의료서비스 지원 AI 솔루션 개발 및 임상 검증·활용평가 - 의료서비스 지원이 가능한 AI 솔루션 시범모델을 선정 및 멀티모달 파운데이션 모델을 기반으로 AI SW 솔루션 시범모델 개발 - 개발된 AI 솔루션은 다양한 임상현장에서 검증‧실증 수행</t>
  </si>
  <si>
    <t>바이오헬스산업 육성 지원</t>
  </si>
  <si>
    <t>ㅇ (바이오헬스산업 육성지원) - (의료기기산업 경쟁력 강화) - (화장품 산업 경쟁력 강화) - (바이오헬스산업 전문인력 양성) - (바이오헬스산업 글로벌진출 지원)</t>
  </si>
  <si>
    <t>발달장애디지털치료제개발(R&amp;D)</t>
  </si>
  <si>
    <t>- (발달장애디지털치료제개발) 주관보건복지부-과학기술정보통신부 다부처 사업으로 추진한 ‘자폐혼합형디지털치료제개발(’22~‘24)’ 사업의 후속사업으로 적용대상 확대 및 상용화 기 술개발을 위한 2단계 연구사업 - (디지털치료제개발) 발달장애의 전주기적 개입을 위한 AI SW(선별, 진단보조, 경과 예측) 및 디지털치료제(ASD, ADHD, 운동장애) 상용화 기술개발 - (사업운영비) ▴인건비, ▴연구과제 기획·평가, ▴성과관리 등 사업운영비</t>
  </si>
  <si>
    <t>보건의료데이터 상호운용성 지원 기술개발(R&amp;D)</t>
  </si>
  <si>
    <t>○ (사업목적) 보건의료데이터의 교류‧활용을 위한 AI기반의 상호운용성 지원 기술개 발을 통해 데이터 활용도 제고 및 의료서비스 질 향상 ○ (사업내용) AI 등 최신 기술을 활용한 상호운용성 지원기술 개발을 통해 보건의 료데이터 교류·활용 활성화 기반 마련 2024 2025 2026예산 예산액 (추경) 예산 현액 집행액 이월액 불용액 예산액 (추경) 예산 현액 집행액 이월액 불용액 ○ 기능별 분류(합계) - - - - - 5,700 5,700 5,700</t>
  </si>
  <si>
    <t>사회보장정보시스템 구축 및 운영(정보화)</t>
  </si>
  <si>
    <t>- (사회보장정보시스템 구축 및 운영) · 사회복지 사업의 시행 및 운영에 차질이 없도록 관련한 법률 및 제도, 지침등의 신설․변경 사항등을 사회보장정보시스템에 적기에 반영 · 복지로 및 복지멤버십, 복지 사각지대 발굴시스템 등의 구축․운영을 통해 사회복지 제도 안내 및 이용 편의를 도모하고 복지 사각지대를 해소 - (국정과제 수행) 국정과제* 및 대통령 지시사항의 성공적 수행을 위해 AI 기반위기가구 선별 모형 고도화, 위기정보 확대 및 AI 초기상담 정보시스템 고도화 추진 * 복지사각지대해소를위한AI 기반위기가구발굴및지원확대 - (내역사업별 사업목적·내용) ㅇ (차세대 사회보장정보시스템 구축) 분절된 사회서비스 정보를 수요자 개인 중심 으로 통합·연계하여 통합적 서비스 제공을 위한 구축사업 추진 ㅇ (사회보장정보시스템 서비스 확대) 법령 개정 사항에 따른 변동 사항 반영과 복 지제도 신설에 따른 기능 개발 등 시스템 서비스 확대 개편사업 추진 ㅇ (사회보장정보시스템 사업관리) 공공요금 등 원활한 시스템 운영을 위한 사업관리비 ㅇ (맞춤형 급여 안내 활성화) 생애주기별 받을 수 있는 급여를 적극적으로 찾아서 안내하는 맞춤형 급여 안내 제도(’복지멤버십‘)에 대한 교육 및 홍보 추진</t>
  </si>
  <si>
    <t>응급실 특화 AI기반 임상지원시스템 개발(R&amp;D)</t>
  </si>
  <si>
    <t>의료 인공지능 특화 융합인재 양성 사업(R&amp;D)</t>
  </si>
  <si>
    <t>- (세부사업명) 바이오헬스 특화 분야별 인공지능 기술을 접목할 수 있는 융합 인재 양성을 통해 산업 혁신 및 보건의료 질 향상 견인 • 특화 영역별 인재양성 학위과정 운영 지원을 통해 산업 혁신에 필요한 인재 배출 및 의료 인공지능 분야 인재 수급 안정화 기여 - (내역사업명) 의료 인공지능 산업 특화 영역별 학‧석‧박사 인재양성 지원 • (학위과정 유형) (학부) 마이크로디그리 과정 또는 인증제 프로그램 운영, (대학원) 의료 인 공지능학 세부전공교실 운영, (프로젝트실습병행) 특화 영역별 인재양성에 필요한 프로젝트 기반 실습 지원 • (교육과정) ➊기초이론 → ➋특화 영역별 심화이론 → ➌산업계 연계 실습프로젝트(PBL) 등 순 서로 단계를 세분화하여 체계적 교육 운영</t>
  </si>
  <si>
    <t>의료데이터 중심병원 지원사업</t>
  </si>
  <si>
    <t>⚬ (의료데이터 중심병원 지원사업) 의료데이터 활용·확산을 위한 병원 인프라 구축 지 원 및 분절적으로 쌓인 보건의료 데이터를 연계·개방하기 위한 연구 기반 조성 - (의료데이터 중심병원 기반구축 지원) 개별 민간병원에 분절적으로 쌓인 데이터 활 용 활성화를 위해 역량 있는 병원에 빅데이터 활용·확산을 위한 인프라 구축 지원 - (데이터인공지능활용센터 운영) 보건의료데이터를 활용한 연구개발 수요 대응 및 생태계 조성, 의료데이터 중심병원 사업 성과관리 - (K-CURE 임상데이터 네트워크 구축) 한국인 주요 질환 연구 기반을 조성하기 위해 의료기관 임상·공공데이터를 연계·결합하여 통합 개방 - (의료 AI 데이터 활용 플랫폼 구축) 의료데이터 중심병원을 ①데이터 활용 지원, ②AI 테스트 베드로 고도화하여 통합지원</t>
  </si>
  <si>
    <t>- (지역거점 AX혁신 기술개발사업) 지역 AX 연구 거점 조성으로 지역 특화산업(바 이오, 로봇 등)과 연계한 AX 산업화 촉진 및 AX 기술 공급기지 구축</t>
  </si>
  <si>
    <t>○ (치매의료기술연구개발사업) AI·빅데이터 기반의 정밀의료를 활용한 치매 원인 규명, 조 기 진단 및 맞춤형 치료·예방기술 개발을 통한 전주기 혁신적 연구개발 추진 - (차세대 맞춤형 진단,치료 및 예방기술 개발(복지부)) 첨단기술 기반 치매 예측·진단기술 고 도화, 근원적 치료제 및 비약물치료, 빅데이터 기반 예방기술 등 치매의 조기 개입과 예 방·진단·치료 실용화 기술 확보</t>
  </si>
  <si>
    <t>치매전주기 데이터수집 및 빅데이터 통합시스템 구축사업(R&amp;D)</t>
  </si>
  <si>
    <t>○(치매전주기 데이터 수집 및 빅데이터 통합시스템 구축사업) 국가 치매연구 인프라고도화를 위한 치 매 종적 데이터 수집·통합 - (치매 종적데이터 및 시료수집) 치매극복연구개발사업의 기초·임상연구레지스트리 등록환자를 대상으로 2년 간격의 추적 데이터 확보 및 시료수집·분양</t>
  </si>
  <si>
    <t>한국형 수술질향상 프로젝트(K-NSQIP)(R&amp;D)</t>
  </si>
  <si>
    <t>- (한국형 수술질향상 프로젝트(K-NSQIP)) 전국단위의 수술합병증 발생률 데이터 구축* 및 위험도 평가 예측모델, 피드백 및 가이드라인 등을 개발하여 수술 질 제고 * 5대주요외과적수술(위절제술, 대장/직장절세술, 간절세술/간이식, 췌장절세술, 신장이식)에대하여전국단위의 수술후공통합병증DB 구축</t>
  </si>
  <si>
    <t>한의약산업육성</t>
  </si>
  <si>
    <t>- (한의약산업육성) 한의약산업기반구축, 한의약 과학적 근거 확보, 한의약산업 지원을 통한 전반적인 한의약 산업육성 지원 - (한의약산업전주기지원체계구축) 한의약 제품개발에 필요한 현장 수요 맞춤형 기술지원 및 현장 실증지원을 통해 한의약 제품개발 활성화 - (한의약소재은행) 한약자원 기반으로 한 새로운 소재를 산·학·병·연에 분양하여 새로운 한의약 신제품 개발에 기반 제공 - (한약인공지능플랫폼구축) 한약, 한약재, 한약제제 실험정보 등을 통합 수집, 분석 및 가공하여 한약 제품화‧산업화를 위한 인공지능 기반 공동 활용 플랫폼 구축 - (의·한 협진 모니터링 센터운영지원) 임상현장에서 수행되고 있는 양방과 한방의 협진 현황 및 임상효과를 체계적으로 수집·분석하여 협진질환의 근거확보 및 표준진료 모형 개발 추진 - (한약[탕약]현대화) 한방의료기관 원외탕전실(한약 조제시설)에 대한 평가인증 및 교육·컨 설팅 등을 통한 인증제 진입 지원, 탕전실 조제한약의 품질 모니터링 및 사후관리 지원</t>
  </si>
  <si>
    <t>산림청</t>
  </si>
  <si>
    <t>AI 기반 임도 설계 및 유지관리 최적화 기술개발(R&amp;D)</t>
  </si>
  <si>
    <t>- (AI 기반 임도 설계 및 유지관리 최적화 기술개발(R&amp;D)) 목재 생산성 증진을 위한 AI기반 신설·유지관리·활용 기술의 개발로 벌채 접근성 향상, 유지·관리 비용 절감 등 산림경영 인프라 고도화 - (AI 기반 임도 노선 선정 및 설계 기술개발) 목재 운반 효율성 향상을 위한 임도망 계획, 임도 노선 선정 및 설계 기술을 AI 기반으로 고도화하여, 임도 구축의 신속 성‧정확성 제고 위한 기술개발 - (AI 기반 임도 유지관리 및 활용 기술개발) 실시간 임도 품질진단 및 유지보수 예측, 임도 훼손지 비탈면 안정화 기술 등 AI 기반 유지관리 자동화 기술개발</t>
  </si>
  <si>
    <t>고성능 목재수확 기계장비 개발(R&amp;D)</t>
  </si>
  <si>
    <t>- (고성능 목재수확 기계장비 개발(R&amp;D)) 국산 목재 수확의 생산 효율성 제고 및 산림자원 순환경제 활성화를 위한 산림현장 맞춤형 고성능 임업기계 기술개발 - (대형 목재 수확용 지능형 하베스터 개발) 35°이상 절험지 환경 극복을 위한 대형 벌목작업용 지능형 하베스터 개발 및 산림현장 실증</t>
  </si>
  <si>
    <t>대형산불 대응 지능형 솔루션 기술개발(R&amp;D)</t>
  </si>
  <si>
    <t>- (대형산불 대응 지능형 솔루션 기술개발(R&amp;D)) 기후변화에 따른 산불 연중화･대형화 문제를 해결하기 위해 첨단기술(AI･로봇 등)을 활용한 대형산불 현장대응력 혁신 기술개발 - (AI 기반 대형산불 대응 지능형 솔루션 기술개발) AI 기반 실시간 예측･분석과 의사 결정 솔루션 제공으로 초기 대형산불 긴급 대응 및 인명피해 예방 - (첨단기술 활용 대형산불 대응 실시간 네트워크 기술개발) 산불 현장의 통신 음영 지역 내 진화자원의 실시간 통신 및 위치 정보 공유를 통한 안전 확보 및 산불 대응 속도 향상 - (대형산불 현장 맞춤형 첨단장비 요소 기술개발) 다목적 산불 진화 차량에 AI 기능 탑재 고도화 및 산불 현장과 재난안전망 실시간 연계를 통한 의사결정 지원 기술 구축 - (한국 산악지형 특화 산불진화 기술 맥시멈 스케일업) 로봇을 통한 협력 진화, 친 환경 방제약제 및 산불 진화 대원의 인명 보호 기술개발로 진화자원 부족 및 인명 피해 저감 기여</t>
  </si>
  <si>
    <t>디지털 기반 산림 우수종자 생산공급 기술개발(R&amp;D)</t>
  </si>
  <si>
    <t>- (디지털 기반 산림우수종자 생산공급 기술개발(R&amp;D)) 혁신적인 차세대 산림종자 기술을 활용하여 산림 종자산업의 디지털 전환을 통해 고품질 산림 종자 생산 및 공급을 위한 기술개발 구축 - (종자 생산성 증진) 혁신 디지털 기술의 개발 및 통합을 통한 산림 종자 생산성 증진을 위하여 수종별 묘목 생산, 제초, 해충 모니터링, 종자 채집 기술 개발 - (종자 이용 효율화) 산림 종자의 이용 및 관리 효율성과 효과성을 향상시키기 위 하여 AI 도구를 사용한 종자 품질 분류, 수종별 및 종자 발아 향상, 종자 가공 및 저장 기술 개발</t>
  </si>
  <si>
    <t>산림과학연구(R&amp;D)</t>
  </si>
  <si>
    <t>- (산림과학연구(R&amp;D)) 산림자원 조성․이용과 환경이 조화된 산림과학기술개발을 통해 세계 일류의 산림과학기술력을 확보하고 국민행복, 국토건강, 세계녹화를 선 도하는 산림과학 지식․기술을 개발․보급 ▪(산림 생태계서비스 및 보전‧복원 연구) 동 내역사업은 산림생태계 서비스 기반을 구축하기 위해 산림생물다양성에 기반한 산림생태계 보전, 복원, 관리 등 핵심 산림생태계서비스 유지‧증진기술 개발을 지원하는 것임 ▪(숲 기반 산림복지 연구) 동 내역사업은 국민의 삶의 질 향상에 기여하기 위해 숲 기반의 공간을 조성하고 운영하며 기능을 증진하는 기술개발을 지원하는 것임 ▪(국제 및 남북 산림협력 연구) 동 내역사업은 국제사회의 지속가능발전목표 (SDGs)의 국내 이행 및 국제 개발협력방안을 개발하고 남북한 산림협력 방안 구축 등 국제 북한 이슈에 대응하기 위한 정책 및 기술개발을 지원하는 것임 ▪(산림생명자원 이용 임업소득 증대 연구) 동 내역사업은 산림분야 신성장동력을 창출하기 위해 산림생명자원을 산업소재로 활용할 수 있는 원천기술을 개발하고, 임업 소득 증대를 위해 소득자원으로 이용할 수 있는 신품종 육성 및 재배기술 개발을 지원하는 것임 ▪(목재 생산 및 이용 기술 연구) 동 내역사업은 목재 산업의 경쟁력을 향상시키기 위해 목재 생산 및 공급 프로세스의 최적화와 목재이용기술의 고도화를 지원하는 것임 ▪(산림방재연구) 동 내역사업은 국민의 생명과 재산을 위협하는 물리적 산림재해 (산불·산사태·땅밀림) 예방 및 관리를 위한 기술개발을 지원하는 것임 ▪(시험림 기반구축) 동 내역사업은 시험림의 체계적 조성·관리·운영으로 산림과학 기술 실용화 및 현장실연 연구기반 구축을 지원하는 것임</t>
  </si>
  <si>
    <t>산림분야 그린바이오 미래형 가치사슬 기술개발(R&amp;D)</t>
  </si>
  <si>
    <t>- (산림분야 그린바이오 미래형 가치사슬 기술개발(R&amp;D)) 산림분야 그린바이오 산업화를 위한 기능성 소재의 인체 기능성 검증과 양산화를 통해 개별인정형 원료 등록 및 글로벌 시장 진출 - (산림자원 기능성 검증 강화) 전임상이 완료된 산림생명소재의 기능성 임상지원 및 해외규제 대응으로 실험실 수준의 성과의 사업화 - (디지털 기반 산림자원 원물 양산화) 산림 등 바이오 거점센터와 연계하여기능성 검증이 완료된 소재의 양산화를 위한 디지털 기술개발</t>
  </si>
  <si>
    <t>산불방지대책</t>
  </si>
  <si>
    <t>- (산불방지대책) 산불예방 및 대응체계를 구축하여 산불발생을 사전에 차단하고 산 불로 인한 피해를 최소화하여 국민의 생명과 재산, 산림자원 및 자연생태계를 보호 - (산림재해드론활용) 드론을 활용한 산불예방 감시 및 효율적인 야간산불 진화 - (소화시설 운영) 문화재 등 주요시설물 보호를 위한 소화시설 설치 및 유지관리 - (감시기반 확충) 산불감시카메라 설치, 노후 카메라 교체·유지보수 및 감시초소 설치 - (산불방지 홍보) 산불방지 홍보, 캠페인 등 대국민 인식개선을 위한 홍보 - (대책본부 운영) 상황실 운영, 진화훈련, 포상금 등 산불대책본부의 효율적인 운영 - (재난상황 관리) 산불상황관제시스템 운영, 산불진화자 급식비 지급 등 산불재난 대응 - (산불위험지 관리) 소각산불 예방을 위한 영농부산물 파쇄기 지원, 위험지 조사 - (진화장비 확충) 산불재난의 신속한 대응을 위한 진화차량 등 진화장비 도입·교체 등 - (무선통신 운영) 노후 무선중계기 교체 등 산불대응 체계 유지 - (산불재난특수진화대) 광역·야간산불에 대응하기 위한 산불재난특수진화대 운영 - (산불교육 및 훈련) 조사감식반 운영, 진화대원 안전사고 예방 등을 위한 교육 - (산불대응센터) 진화장비 보관, 진화대원 출동대기 등 처우개선을 위한 지원센터 조성 - (산불방지 안전공간) 산불 피해 위험이 높은 시설물 등 보호를 위한 안전공간 조성 - (과학기반 산불감시) 산불감시 센서, CCTV 설치 등 플랫폼 구축으로 산불 사전예방 2024 2025(2025.12월말) 2026 예산 예산액 (추경) 예산 현액 집행액 [실집 행액] 이월액불용액본예산 예산 현액</t>
  </si>
  <si>
    <t>산사태 현장대응 기술개발(R&amp;D)</t>
  </si>
  <si>
    <t>- (산사태 현장대응 기술개발(R&amp;D)) 기후위기 산림재난인 산사태 현장대응 지원을 위한 핵심기술 개발 - (산사태 피해저감 지능형 현장대응 기술개발) 산사태 현장 대응력 강화 및 국민 안전 확보를 위한 산사태 스마트 대피 및 복구지원 기술 개발</t>
  </si>
  <si>
    <t>스마트 산림재해 대응(정보화)</t>
  </si>
  <si>
    <t>- (스마트 산림재해 대응(정보화)) 최신 ICT 기술을 적용한 산불ㆍ산사태ㆍ산림병해충의 신속하고 과학적인 대응체계를 구축하여 산림재난으로부터 국민의 생명과 재산 보호 - (스마트 산림재해 대응체계 구축) ICT를 활용한 스마트 산림재난 통합관리체계의 무 중단 운영 및 기관간 협업을 통한 정확한 판단·신속한 대응·안전한 진화를 지원하기 위해 24시간 365일 안정적인 운영과 상시적인 유지관리 필요 ㆍICT기반산림재난예측및예방체계개선: 기후변화등으로인한산림분야재해의발생 빈도와피해규모가점점증가함에따라선제적예측및예방체계등을구축 ㆍ현장중심산림재난대응체계구축: 현장의상황을정확히파악하여신속한대응을지원할 수있도록실시간및분석정보를제공하고의사결정을지원 ㆍ산림재난정보기반강화: ICT 기술을활용하여산림재난발생시신속한진화전략의수립을 위한분석정보를제공하고, 대국민안전서비스를강화 ㆍ스마트산림재난관리체계인프라개선(G-클라우드전환) : 시스템운영의생산성향상을 위해가상화기술과분산처리기술을적용하여선진재난정보인프라체계구축 ㆍ스마트산림재난대응체계운영및유지관리: 스마트산림재난통합관리체계의24시간 × 365일안정적인서비스운영및유지관리를지원 ㆍ기타운영비: 산림재난교육(업무별산림청및지방자치단체, 유관기관담당자) 및업무 협의, 출장등 2024 2025(2025.12월말) 2026 예산 예산액 (추경) 예산 현액 집행액 [실집 행액] 이월액불용액본예산 예산</t>
  </si>
  <si>
    <t>임업현장 맞춤형 푸드테크 기술개발(R&amp;D)</t>
  </si>
  <si>
    <t>- (임업현장 맞춤형 푸드테크 기술개발(R&amp;D)) 임업현장에서 필요로 하는 푸드테크 기술개발을 통해 임산물 생산성 향상 및 소비 증진을 통한 임가 소득증대 기여 - (생산·제조 혁신기술개발) 임업현장에서 개선이 시급한 생산·제조 분야를 과학기술로 개선할 수 있는 첨단 장비 기술개발 - (케어푸드 기술개발) 단기소득임산물 케어푸드 산업화를 위한 식의약 기능성 분석 및 특별관리임산물 기능성, 등급제 기술개발</t>
  </si>
  <si>
    <t>산업통상부</t>
  </si>
  <si>
    <t>AI기반표적맞춤형의약품제조자율랩기술개발사업(R&amp;D)</t>
  </si>
  <si>
    <t>- (AI 기반 표적맞춤형 의약품 제조 자율랩 기술개발 사업) AI 및 로봇 기반 자동 화 표적맞춤형 의약품 발굴 및 자율 제조랩 시스템 구현을 통한 국내 제약바이오 기업의 차세대 모달리티 신약 제조 경쟁력 확보 - (AI 기반 표적맞춤형 링커-약물 복합체 제조 자율랩 기술개발) AI 및 로봇 기반 자 동화 표적맞춤형 의약품 개발 및 자율 제조랩 시스템 구현을 통한 국내 제약바이 오기업의 차세대 모달리티 신약 제조 경쟁력 확보 - (AI 기반 표적지향 바이오접합 의약품 제조 자율랩 기술개발) AI 기반 표적지향 항체-약물접합체(ADC) 설계-합성-생산 전주기 자동화 플랫폼 구축을 통한 국내 바 이오 기업의 글로벌 경쟁력 제고</t>
  </si>
  <si>
    <t>AI응용제품 신속 상용화 지원사업(제조)</t>
  </si>
  <si>
    <t>ㅇ (목적) ➊AI 관련 제품·서비스 신시장을 빠르게 창출, ➋기존 제조·서비스 기업들의 AX를 가속화, ➌새로운 AI 전문기업 육성, ➍AI 관련 국민 체감도와 인식 제고 ㅇ (내용) AI응용제품 상용화를 위한 컨설팅 →기술지원 →판로개척 등 3단계 지원 &lt; AI 응용제품 신속 상용화 지원 내용(예시) &gt; 구분 지원내용 컨설팅 BM 개발 타겟분석, 가격전략, 시장진출 전략 수립 등 공정 개선 AI 솔루션 적용, 수율향상, 원가절감 등 기술 지원 시제품 제작 패키지 설계, 디자인 목업, 제품 형상 구현(샘플금형, 비금형, 정밀 미세가공 등), 양 산용 초도제품 제작 양산체계 구축 생산설비 및 시설 설계 및 부지 확보, 생산관리 정보화, 기술유출방지 시스템 구축 등 기술이전 및 지재권 획득 기술이전에 필요한 기술료 지원, 지식재산권(IP) 획득 지원 (분쟁대응 포함), 특허 및 상표권 등 출원비용 지원 AI모델 확보 학습 데이터 확보 및 AI 모델 개발 지원, GPU 활용 및 임대 지원 시험‧인증 제품 또는 품질 관련 국내인증 취득을 위한 컨설팅 비용  등 지원, 해</t>
  </si>
  <si>
    <t>AI자율제조SDM플랫폼기술개발사업(R&amp;D)</t>
  </si>
  <si>
    <t>□(사업목적) 제조 全과정에서 산업 AI 기반의 로봇·장비·시스템등이 자율적으로 협업 하기 위해 기업 내 혹은 기업 간 이기종 IT·OT 제조데이터를 연계하는 ｢자율제조 SDM 플랫폼｣기술개발</t>
  </si>
  <si>
    <t>□(AX실증밸리조성기술개발) AI기반 산업 패러다임 변화에 대응하여, 자율주행 모빌리티 플랫폼 및 제조 고도화기술 등 지원 ※ 지역 강점 분야를 기반으로 Physical AI 기술을 적용하여 실환경 및 산업에 적용이 가능 하도록 실증환경을 조성하고, 산업 전반에 걸친 혁신 촉진을 위한 대규모 연구개발 추진 ㅇ (자율주행모빌리티플랫폼개발) Physical AI 기반 PBV 플랫폼 등 자율형 모빌리티 의 제품-서비스 전환 구현 및 시스템 구축 ※ 사용자 수요예측을 통해 유연·맞춤·자율 제조가 가능한 Physical AI 기반 PBV 제조 SDF 플랫폼 및 서비스 상용화 ※ 자기 학습형 자율주행 시스템과 차량 플랫폼 등 모빌리티 AX 핵심기술을 개발하고, 다양한 도심 환경 대응 가능 자율주행 플랫폼 및 맞춤형 모빌리티 제조 AX 기술 확보 지원</t>
  </si>
  <si>
    <t>K-온디바이스AI반도체기술개발(R&amp;D)</t>
  </si>
  <si>
    <t>ㅇ 주력산업-팹리스 협력 기반 K-온디바이스 AI생태계 구축으로 주력산업 제품 첨단화 및 팹리스 역량 강화 - 외산 반도체 의존도가 높은 주력산업(자동차, 가전, 기계·로봇, 방산 등)의 AI반도체 공급망 내재화와 차별화된 주력산업 제품 개발로 글로벌 시장의 지배적 우위 확보를 위한 수요-공급기업 연계 기반 온디바이스 AI반도체 풀스택* 및 첨단제품 공동 개발 * AI반도체칩, 모듈, AI 모델, AI S/W</t>
  </si>
  <si>
    <t>K-치안수요기반피지컬AI조명핵심기술개발및실증(R&amp;D)</t>
  </si>
  <si>
    <t>- 치안, 안전 등 공공수요가 높은 드론용 조명에 인공지능 기술을 접목한 피지컬 AI조명 핵심기술개발 및 실증 추진 2024 2025(2025.12월말) 2026 예산 예산액 (추경) 예산 현액 집행액 [실집 행액] 이월액불용액본예산 예산 현액 집행액 [실집 행액] 전년도 이월액 제외 이월 예상액 불용 예상액 예산 현액 집행액 [실집 행액]</t>
  </si>
  <si>
    <t>No-Code 제조기술 혁신 생태계 구축</t>
  </si>
  <si>
    <t>ㅇ (목적) 제조기업의 非전문 인력도 현장 시스템을 변경·개선할 수 있도록, No-Code 기술 적용 SW를 제조현장에 구현 ㅇ (내용) 산학협력을 통한 노코드 기반 SW 솔루션을 제조기업에 지원, 전통제조산업기업의 디 지털 역량 강화및 DX 생태계 구축 - (No-Code 실증 테스트베드 구축) 기술 전시, 기술검증 및 표준화, 교육 등 No-Code 기 술 선도를 위한 테스트베드 구축 - (No-Code 실증 테스트베드 운영) No-Code 기술개발 및 성능평가 등 실증 테스트 수행, 수요-공급 기업 기술매칭 등 기업 No-Code SW 기술허브 제공 - (No-Code SW 도입 지원) 신제품 개발, 신기술 도입 등 잦은 공정 변경이 필요한 제조 중소기업을 대상으로 맞춤형 No-Code 제조 SW 기술 도입 지원</t>
  </si>
  <si>
    <t>SDV용AI가속기반도체기술개발(R&amp;D)</t>
  </si>
  <si>
    <t>ㅇ 사업목적 - 세계 최고 수준의 차세대 SDV向AI가속기 반도체 기술개발을 통한 국내 자동차 산업의 기술 주도권 및 글로벌 성능ž가격 경쟁력 확보 ㅇ 주요내용 - 탑티어 AI 가속기술 보유 해외社와의 협력 개발을 통한 세계 최고 동등 이상 수준 (1,000TOPS급)의 자율주행 차량용 핵심 반도체 및 SW 국산화 개발 등 총괄과제 1개 및 세부과제 3개로 구성</t>
  </si>
  <si>
    <t>가전산업AX전환을위한AI핵심모듈및혁신제품화기술개발(R&amp;D)</t>
  </si>
  <si>
    <t>국가로봇테스트필드사업(R&amp;D)</t>
  </si>
  <si>
    <t>ㅇ 로봇 제품의 개발·실증·인증을 포괄적으로 지원하는 가상환경/실환경 기반 국가로봇 테스트필드를 구축하여 로봇기술의 사업화 촉진 - (로봇실증평가기술개발) 로봇 제품/서비스의 유효성 및 신뢰성 실증을 위한 가상환경 기반 디지털 트윈 실증평가 기술개발 및 실환경 시나리오 기반 실증평가 기술개발 - (실증인프라구축및운영) 유망 로봇서비스 대상 실-가상환경 양방향 연동 실증 인프라 구축</t>
  </si>
  <si>
    <t>국가통합바이오빅데이터구축사업(R&amp;D)</t>
  </si>
  <si>
    <t>- (국가 통합 바이오 빅데이터 구축) 참여자 동의 기반 검체(혈액·소변 등)를 확보*하고, 임상·유전체 및 공공데이터 등을 통합·개방하기 위한 R&amp;D 인프라 구축 * 1단계(’24∼’28년) 77.2만명모집(예타기준6,581억원) - (내역①바이오 데이터뱅크 구축·운영) 개인 중심으로 통합된 바이오 빅데이터 구축 및 동의·수집·보호·활용체계 마련 - (내역②사업단 운영) 사업 기획, 평가 및 성과관리 등 사업 운영 관리</t>
  </si>
  <si>
    <t>기계장비산업기술개발(R&amp;D)</t>
  </si>
  <si>
    <t>□(기계장비산업기술개발) 주력산업 경쟁력 제고를 위한 제조장비 및 산업용 기 계·시스템의 고도화 및 제조기업이 직면한 난제 해결을 위해 업종별 특화 제조 AI 기술확보로 국내 기계·장비 기업의 산업경쟁력 확보 ※ AI 자율제조 선도프로젝트는 제조업 경쟁력을 획기적으로 제고하기 위해 제조현장에 투입 되는 로봇·기계·장비 등에 AI를 결합하는 프로젝트 - ‘기계장비산업기술개발’은 제조산업에 필요한 생산장비의 고도화를 지원 범위에 포함하고 있으며, 기계·장비에 대한 AI 접목도 이러한 지원의 일환 - (제조기반생산시스템) 반도체·자동차·조선 등 주력산업 경쟁력 제고를 위해 업종별 특화 제조AI 기술개발 및 기계·장비 핵심부품·시스템 기술개발을 통한 국내 기계 장비기업의 글로벌 경쟁력 강화 - (제조장비실증) 기개발된 기계·장비 핵심부품 및 제조AI 기술을 제조현장에 도입· 실증하여 기술의 검증(PoC) 및 확산 생태계 구축 - (제조장비 전주기 기술개발-종료) 제조장비 핵심기술 사업화 촉진을 위해 전략품목에 대한 핵심품목의 설계 및 신뢰성 검증지원과 수요-공급 협력기반의 고부가장비 신뢰성 체계 구축 지원</t>
  </si>
  <si>
    <t>대한무역투자진흥공사</t>
  </si>
  <si>
    <t>○(사업목적) 무역 진흥과 국내외 기업 간의 투자 및 산업 기술 협력의 지원, 해외 전문 인력의 유치 및 중소기업의 해외진출 지원 등을 통해 국민경제 발전에 이바지 (대한무역투자진흥공사법 제1조) - (조직망운영비) 무역진흥 및 투자유치 업무 등을 수행하기 위한 코트라 해외 무역관 86개국 132개소및 국내 조직망 1개소 관리‧운영비 지원 - (인건비) 코트라 정규직, 무역관 현지직원, 무기계약직 등에 대한 급여, 법정복리 후생비, 내부평가 성과급 지원 - (경상경비) 코트라 사옥관리, 제세공과금 등 기관 운영 기본 경비 지원 - (예비비) 공공기관 경영평가 결과에 따른 코트라 성과급 지원 - (정보화경비) 코트라 대내외 무역투자 정보시스템 운영을 위한 경비 지원 - (사업비) 대한무역투자진흥공사법 제1조에 따른 코트라 고유업무* 수행 사업비 지원 * 해외마케팅지원, 현지진출기반조성, 글로벌일자리지원, 외국인투자유치, 해외정보조사, 디지털무역플랫폼구축‧활용, 경제안보기반강화내내역조정</t>
  </si>
  <si>
    <t>로봇산업기술개발(R&amp;D)</t>
  </si>
  <si>
    <t>ㅇ (로봇산업기술개발) 제조AI 기술개발 및 산업현장 활용 확산을 위해 휴머노이드, AI 팩토리, AI융합 산업용로봇 등 AI 중심의 로봇 핵심R&amp;D 집중 지원 ※ AI 자율제조 선도프로젝트는 제조업 경쟁력을 획기적으로 제고하기 위해 제조현장에 투입 되는 로봇·기계·장비 등에 AI를 결합하는 프로젝트 - ‘기계장비산업기술개발’은 제조산업에 필요한 생산장비의 고도화를 지원 범위에 포함하고 있으며, 기계·장비에 대한 AI 접목도 이러한 지원의 일환 - (로봇산업핵심기술개발) 제조로봇, 서비스로봇 등 다양한 로봇 응용분야에서 성장이 유망한 핵심 로봇 제품 및 로봇용 핵심 부품·SW 등의 원천·공통 기술 개발 지원 - (재난및위험작업현장근로자의사고방지를위한안전로봇기술개발) 재난(화재) 및 위험한 산업현장 근로자의 사고 방지를 위한 안전로봇 기술개발 및 현장 실증 - (사회적약자자립지원로봇기술개발) 노인·장애인 등 사회적 약자 자립 지원을 목표로 일상생활에 필요한 보조 업무 지원 및 로봇 신시장 창출을 위한 로봇 제품 기술개발 - (휴머노이드로봇AX기술개발) 휴머노이드 로봇을 현장에 도입하려는 수요기업과 연결 하여 현장 중심으로 산업별 특화 휴머노이드 로봇 개발 및 핵심 부품 고도화 2024 2025(2025.12월말) 2026 예산 예산액 (추경) 예산 현액 집행액 [실집 행액] 이월액불용액본예산 예산 현액 집행액 [실집</t>
  </si>
  <si>
    <t>멀티오믹스기반난치암맞춤형진단치료상용화기술개발(R&amp;D)</t>
  </si>
  <si>
    <t>- (멀티오믹스기반 난치암 맞춤형 진단치료 상용화 기술개발) 기확보된 대규모 난치암 멀티오믹스 빅데이터의 상용화 및 제품화를 위해 기초, 임상, 게놈, 인공지능, 나노 기술을 융합한 다학제 통합 분석 및 활용기술 개발을 통해 난치암 맞춤형 진단·치료 기술을 개발하여 정밀의료산업 고도화 및 바이오 의료 분야 신산업 창출 - (내역1 : 멀티오믹스빅데이터 기반 난치암“Undruggable" 타겟 연구 및 표적치료제 설계 기술개발) 멀티오믹스 빅데이터 통합분석 기반 난치암 undruggable 타겟 발굴 및 타겟 대상 치료 후보물질 도출 시스템 개발을 통한 신개념 난치암 표적 치료제 상용화 기술 개발 지원 - (내역2 : 멀티오믹스/디지털 통합분석기반 “전단계암” 정밀예측·진단 플랫폼 개발 및 제품화) 기존 학술 연구 목적으로 대규모로 확보된 오믹스 멀티오믹스 데이터를 상업적으로 활용가능하도록 통합하고 분석 고도화와 더불어 기초, 임상, AI, 나노 기술 포함한 다학적 접근법을 통해 무증상 전암 및 암 예측 초정밀 진단패널/키트 및 장비 상용화 기술 개발 지원</t>
  </si>
  <si>
    <t>미래이차전지원료소재실증플랫폼기반구축</t>
  </si>
  <si>
    <t>- (미래이차전지원료소재실증플랫폼기반구축) 차세대배터리 소재융합플랫폼 구축을 통해 원료·핵심 소재에 대한 해외 의존도 탈피 및 초격차 기술경쟁력 확보 ▪이차전지용 유·무기 소재의 개발부터 실증 단계까지 전 과정에 걸쳐 실증 플랫폼 기반의 소재 라이프사이클 디지털 프로세스 기반구축</t>
  </si>
  <si>
    <t>민관공동투자반도체고급인력양성(R&amp;D)</t>
  </si>
  <si>
    <t>ㅇ (민관공동투자반도체고급인력양성) 기업수요형 R&amp;D 수행으로 고급전문 인력을 양성하여 반도체 글로벌 경쟁력 및 안정적 반도체 산업기반 확보 - 메모리와 시스템 반도체 개발 및 반도체 소재부터 장비까지 全영역 원천기술 확보 및 고급 인력 양성 2024 2025(2025.12월말) 2026 예산 예산액 (추경) 예산 현액 집행액 [실집 행액] 이월액불용액본예산 예산 현액 집행액 [실집 행액] 전년도 이월액 제외 이월 예상액 불용 예상액 예산 현액 집행액</t>
  </si>
  <si>
    <t>민군기술협력(R&amp;D)(산업부)</t>
  </si>
  <si>
    <t>- (민군겸용기술개발) 군사 부문과 비군사 부문의 기술협력을 촉진을 통한 정부 R&amp;D 예산의 효과적 집행을 위해 민과 군에서 공통으로 활용 가능한 기술의 연구 개발을 지원 - (부처연계협력기술개발) 다부처 사업으로 민과 군의 협력을 통해 상호간 가장 우수한 기술능력을 활용하여 성과 창출을 지원 - (전력지원체계개발) 국방부에서 군 소요를 결정한 품목을 대상으로 민·군 공통으로 활용할 수 있는 비무기체계 개발 지원 - (민군기술적용연구) 민과 군이 보유하고 있는 기술을 상호 이전하여 민수 실용화 및 군 적용 가능성 연구 지원 - (민군기술실용화연계) 민·군기술협력사업으로 확보된 기술을 군사적 시범이나 민간의 수요검증을 통해 실용화 - (민군기술정보교류) 민·군기술협력사업으로 확보된 기술을 군사적 시범이나 민간의 수요검증을 통해 실용화</t>
  </si>
  <si>
    <t>바이오산업개방형생태계조성촉진</t>
  </si>
  <si>
    <t>ㅇ(바이오산업개방형생태계조성촉진) 산업계의 바이오 산업분야 인력수요 증가에 대 응한 현장중심의 인력양성, 기업의 산업화 장애요소 해소 지원을 통한 산업 경쟁 력의 근간이 되는 산업 생태계 활성화 촉진 - (바이오 사업화 지원) 기업·시장수요를 반영한 비즈니스 역량강화 지원을 통해 국내 바이오산업의 생태계 조성·촉진 및 대부분이 중소·중견기업인 바이오 분야 기업의 성장 및 해외진출 지원 - (바이오 인력양성 지원) 바이오기업에 대한 민간 투자 확대 및 바이오 산업의 성장, 바이오벤처 창업 활성화에 따른 지속적 인력수요 증가가 전망됨에 따라 산업체 현장에 필요한 전문 실무인력 확대 공급 지원 - (바이오산업 기반구축) 첨단 바이오 산업 육성을 위한 사업화 지원, 제조 공정 혁신을 위한 실증 기반 조성 및 관련 인프라 구축 지원</t>
  </si>
  <si>
    <t>반도체 첨단 패키징 선도기술개발 사업(R&amp;D)</t>
  </si>
  <si>
    <t>o (사업목적) 차세대 반도체산업을 이끌어 갈 고집적, 고기능, 저전력화 첨단 패키징 초격차 전략기술 확보 - (기술선도형첨단패키징기술개발) 칩렛, 3D 등 주요 선진사에서 개발 중이거나 5년에서 10년 사이에 상용화될 가능성이 높은 선도기술개발 - (기술자립형첨단패키징기술개발) 2.5D, Fan-out 등 글로벌 반도체 기업이 양산 중인 고부가 모듈 구현에 필요한 첨단패키징 기술과 검사, 테스트 등의 소재, 부품, 장비 공급망 내재화를 위한 핵심기술개발 - (글로벌기술확보형첨단패키징기술개발) 글로벌 첨단기술과 인프라를 보유한 기관과의 협업을 통한 수요기술개발 및 로드맵 수립</t>
  </si>
  <si>
    <t>범부처감염병방역체계고도화R&amp;D사업(R&amp;D)</t>
  </si>
  <si>
    <t>- (사업목적) 미래 감염병 대유행에 효과적으로 대응 가능한 능동적인 범부처 협력 감염병 방역체계 고도화 기술 개발 - (사업내용) 방역 현장의 실질적 수요를 기반으로 미래 방역체계 구현을 위해 다양한 첨단바이오·AI 융복합 기술을 활용하여 ➊빠른 감시, ➋지능적 예측·차단, ➌신속 진단, ➍효능이 입증된 방역물품 개발·검증 ⓛ(감시) 감염병 발생유입 감시, 원헬스 기반 병원체 감시기술 개발 ②(예측차단) 감염병 확산예측 모델, 역학조사 자동화 등 예측차단 기술 고도화 ③(진단) 신변종 감염병 신속 현장진단기술 및 표준물질 신속 개발생산 플랫폼 개발 ④(방역물품) 방역물품 효능평가 기반 기술개발</t>
  </si>
  <si>
    <t>뿌리산업경쟁력강화지원</t>
  </si>
  <si>
    <t>ㅇ (뿌리산업경쟁력강화지원) 뿌리산업 공정혁신, 작업환경 및 인식개선 등 분야별 지원과 정책기반 강화를 위한 사업을 추진하여 국내 제조업의 근간인 뿌리산업의 경쟁력 강화를 지원 ①정책추진 기반조성 및 인식제고 - (사업개요) 대내ㆍ외 환경변화 대응 및 뿌리산업 인식제고를 위한 지원체계 마련 - (사업기간) ‘12~계속 - (지원형태) 출연 - (지원내용) 뿌리산업 현황파악 및 정책 수립을 위한 뿌리산업 실태조사 등 기반 조성과 뿌리산업 인식제고를 위해 뿌리산업 주간 개최, 경기대회 지원, 백서 제작, 민관협력체제 구축 등을 추진 ②특화단지 지원 - (사업개요) 뿌리산업 특화단지 지정 및 지원을 통해 뿌리기업 집적화를 촉진하고 뿌리산업 특화단지의 생산성ㆍ환경ㆍ입지, 편의시설 개선 - (사업기간) ‘12~계속 - (지원형태) 출연 - (지원내용) 뿌리산업 특화단지 내 공동활용시설(50%) 구축, 공동혁신활동(70%) 지원 * 공동활용시설 : 생산설비(폐수처리 등), 편의시설(식당, 휴게시설 등), 방재ㆍ비축시설 등 * 공동혁신활동 : 과제기획, 재교육, 마케팅, 원자재공동구매, 공동물류 등 ③AI공정시스템 구축 - (사업개요) 뿌리공정설비를 기반으로 한 선도적 지능형 공정시스템의 개발 및 실증을 통해 뿌리산업의 디지털 전환 촉진 - (사업기간) ‘19~계속 - (지원형태) 출연 - (지원내용) 뿌리공정의 생산성·품질향상, 친환경화 및 에너지효율화, 안전강화를 위해 뿌리 맞춤형 지능형 공정시스템 구축</t>
  </si>
  <si>
    <t>뿌리산업혁신공정장비개발사업(R&amp;D)</t>
  </si>
  <si>
    <t>- (뿌리산업 혁신공정장비 개발(R&amp;D)) 공정혁신 특화장비1) 및 지능형 업그레이드 모듈2) 개발을 통한뿌리산업의 디지털 전환 및 공급망 대응력 강화로 고부가가치 제조업 으로의 전환 실현 1) 고정밀·고효율 공정특화 장비 확보를 통한 생산성 및 품질 향상 → 예시) 3D프린터를 사형주조에 도입, 공정단축, 인력감축 등 생산성 혁신 실현</t>
  </si>
  <si>
    <t>산업AI 솔루션 실증확산 지원</t>
  </si>
  <si>
    <t>ㅇ (목적) 제조기업(산업AI 수요기업)이 필요로 하는 산업AI 솔루션 실증·확산 및 산업AI 협업 생태계 구축 * 산업AI 수요기업(제조기업) - 산업AI 공급기업(솔루션기업) - 연구기관·대학 ㅇ (내용) 공급기업이 보유한 AI 솔루션을 수요기업 현장에 적용·실증 ․ (산업AI 솔루션 실증) 업종별 실증 시나리오 설계 後수요기업 현장에서 파인튜닝 (Fine-tuning)된 솔루션의 성능 검증 및 고도화 ․ (전국 확산) 컨소시엄별 업종 협회, 전문연구기관 등 지원기관이 참여하여, 컨소시엄간 실증 성과 공유 및 확산을 뒷받침 2024 2025(2025.12월말) 2026 예산안 예산액 (추경) 예산 현액 집행액 [실집 행액] 이월액불용액본예산 예산 현액 집행액 [실집 행액] 전년도 이월액 제외 이월 예상액 불용</t>
  </si>
  <si>
    <t>산업AI용데이터전처리자동화기술개발(R&amp;D)</t>
  </si>
  <si>
    <t>- (목적) 공정별・유형별 산업데이터를 인공지능(AI)이 학습 가능하도록 가공하는 전처리 자동화 기술 강화를 통한 AI 내재화 촉진 - (내용) 산업데이터를 인공지능이 학습 가능 하도록 가공하는 산업데이터 전처리 자동화 플랫폼 개발 및 기업이 참조 가능한 공종별 라이브러리 개발 ․ (자동화 플랫폼 개발) 로코드, 노코드 기반으로 데이터 전처리 자동화를 위한 프로 세스 모델러, 전처리 자동 수행기능 등 필요 기능 개발 ․ (공종별 라이브러리 개발) 기업이 참조하여 활용 가능하도록 산업에 수요가 높은 공종별(안전, 설비, 품질, 에너지환경, 공정물류) 전처리 라이브러리 개발 ․ (실증 및 확산) 산업데이터 전처리 자동화 솔루션을 신규 데이터를 통해 실증하고 유사 분야 AI를 필요로 하는 기업에 확산 2024 2025(2025.12월말) 2026 예산 예산액 (추경) 예산 현액 집행액 [실집 행액] 이월액불용액본예산 예산 현액 집행액 [실집 행액] 전년도 이월액 제외 이월</t>
  </si>
  <si>
    <t>산업기술국제협력(R&amp;D)</t>
  </si>
  <si>
    <t>□(산업기술국제협력) 첨단기술을 보유한 해외 기관과의 공동연구, 기술인력・정보 교류 등 전략적 기술협력 기회를 제공하여 국내기업의 글로벌 혁신역량을 강화하고 기술리더십 확보 및 세계 시장 진출 지원 - (국제공동기술개발) 양자협력국과 중대형 프로그램 본격화 및 다자협력 플랫폼 내 위상 강화에 따른 우리주도의 전략적 분야 국제기술협력 활성화 안정적 운영 - (국제협력기반구축) 기업의 해외 파트너 발굴, 협력수요 확보, 연구기획, 글로벌 시 장진출 등을 원활하게 지원할 수 있는 협력기반 지속 마련 - (글로벌산업기술협력센터) 초격차 급소기술 및 산업원천기술 확보를 위해 글로벌 연 구기관에 협력센터 추가 설치 및 이를 활용한 국내기업의 글로벌 R&amp;D 지원 - (글로벌기업산업기술연계) 외국인 투자기업 전용 R&amp;D지원을 통해 국내 기술기반 및 혁신역량 부족으로 자체 개발이 어려운 첨단 선도기술의 유입 및 국내중소중 견기업의 R&amp;D 역량 고도화</t>
  </si>
  <si>
    <t>산업단지환경조성</t>
  </si>
  <si>
    <t>- (산업단지구조고도화) 산업집적기반시설 확충, 기업지원서비스의 강화 등을 통해 산 업단지의 입주기업 경쟁력을 강화하고 근로환경을 개선하여 노후산단 등*을 청년인재 와신산업이 모이는 혁신공간으로 전환 * 착공후 20년 경과한 노후산단, 경강지구 내 산단 등 총 565개(’25년말 기준) ①(산단환경개선펀드) 산업단지내 기업경쟁력 강화와 근로환경 개선을 위해 정부 출자금을 마중물로 활용하여 펀드를 조성하고 민간투자 유치를 통해 업종고도화, 창업·혁신, 지원·편의시설 확충사업 추진 · 정부예산으로 조성한 펀드를, 자산운용사를 통해 사업시행법인(SPC)에 지분투자 또는 지분투자․대출 혼합 형태로 지원(사업당 500억원 한도 지원) ②(휴폐업공장리모델링) 산단 주력산업 침체, 입주기업 구조조정 대응, 제조경기 활성화를 위해 휴폐업공장을 리모델링 후 창업·중소기업에 저렴하게(주변시세의 70%) 제공 ③(혁신지원센터구축) R&amp;D, 기업지원등혁신기능을 집적한 복합건물 구축을 통해 입주기업의 기업활동 및 업종 고도화 촉진 지원 ④(청년문화센터건립) 청년층의 취업매력도 제고 및 산단 근로환경 개선을 위해 산업단지 내 부족한 편의시설(정주·문화·체육 등)을 집적시설로 건립 · `24년부터 청년 근로자 지원 효과를 극대화하기 위해 복합문화센터 사업(복합문화기능) 및 혁신지원센터 사업(혁신지원 기능)이 융합된 청년문화센터사업으로 통합‧확대 지원 ⑤(활력있고아름다운거리조성플러스) 노후산업단지 내 유동성이 높은 거리를 중심으 로 산업단지 특화 디자인 도입 및 교통 개선을 추진하여 산업단지 활력 제고 · `24년부터 산단 내 보행거리를 활용하여 생활서비스 기능 추가 및 조성규모를 확대 지원 ⑥(노후공장청년친화리뉴얼) 산단내 열악한 노후공장(기업) 대상 내·외부(조경, 색채디자인, 외벽도색), 복지·편의시설(구내식당, 샤워시설, 교육장 개보수 등) 개선 지원 ⑦(문화를담은브랜드산단조성) 산단별 스토리와 인프라를 바탕으로 대표 랜드마크 조성 및 산단 브랜드를 입체적(HW+SW)으로 구체화하고 디자인 등 시각화 ⑧(청년친화형공용편의시설) 산업단지 내 부족한 주거·문화·교통·편의시설을 확충하여 안정적 근무 환경을 조성함으로써 청년 유입 촉진 - (스마트그린산단촉진) 제조업의 중추인 산업단지의 디지털화를 위해 24개 스마트 그린산단을 지정하여 촉진사업 추진 · 스마트그린산단에 공통으로 적용되는 ‘공통기본사업’과 산단 특화업종별로 지원 하는 사업 ‘지역특화사업’으로 구분하여 추진</t>
  </si>
  <si>
    <t>산업용무기·유기화합물제형물성예측AI파운데이션모델개발(R&amp;D)</t>
  </si>
  <si>
    <t>산업혁신기반구축(R&amp;D)</t>
  </si>
  <si>
    <t>ㅇ 중소·중견 기업이 직접 구축하기 힘들지만 산업기술개발에 필수적인 공동활용 R&amp;D 인프라를 연구소ㆍ대학 등 비영리 연구기관에 구축하여 기업의 기술혁신 활동을 지원 - 구축된 인프라(연구장비, SW, 집적화된 전문인력 등을 모두 포함)를 제품기획ㆍ설계부터 시제품 제작, 시험평가ㆍ인증 등 전주기 기술지원 목적으로 활용하여 수혜기업의 기술 개발, 사업화 등의 혁신 활동을 직ㆍ간접적으로 지원 - (산업혁신기반구축) 첨단 산업기술 선도를 위한 국가주도 기반구축 및 기업수요 적시 지원을 위한 현장수요 공동활용 기반구축 추진 - (대학혁신기반센터(UIC)) 대학이 내부역량(교수, 전문인력, 장비 등)을 활용하여 중소· 중견기업의 R&amp;D 역량별 맞춤형 지원서비스를 제공할 수 있도록 대학에 기업지원 종합 플랫폼 구축 - (산업혁신기술지원플랫폼구축) 전국에 기구축된 연구장비를 기업이 효과적으로 활용할 수 있도록 기업지원 패키지서비스 구축 및 홍보, 노후화된 장비 업그레이드 지원</t>
  </si>
  <si>
    <t>산업혁신인재성장지원(R&amp;D)</t>
  </si>
  <si>
    <t>- (산업혁신인재성장지원) 첨단전략산업 육성 및 주력산업 고도화를 위한 산업별 수요기반 석·박사 혁신인재 양성 및 활용지원 - (➊교육훈련) 첨단산업 및 주력산업의 업종별 대학원 교육과정(학위) 개발‧운영, 산학 프로젝트 수행등을 통해 산업계가 필요로 하는 석·박사급 혁신인재 양성 - (➋해외연계) ①신진연구자 해외 공동연구, ②우수 외국인 유학생 지역기업 연계, ③해외 석학 유치를 지원하여 국내 산업 경쟁력 강화 및 글로벌 인재 유치 촉진 - (➌정책기반) 법정 승인통계(제115016호, 통계법 제18조)로 지정된 ①산업기술인력 수급 통계 조사, 산업발전법 제12조제2항에 따른 법정기능 이행을 위한 ②산업별 인적자원 협의체 운영, ‘첨단산업 인재혁신 특별법’ 시행(’25.1.17.)에 따른 ③첨단산업 인재혁신 촉진을 위해 기업인재개발기관 지정제도 등 법정기능 수행</t>
  </si>
  <si>
    <t>산업현장문제해결형산업AI에이전트기술개발(R&amp;D)</t>
  </si>
  <si>
    <t>- (목적) 파급효과 높은 산업 공통 Task(시장예측, 공급망·구매효율화, 공정최적화, 품질관리, 생산 설계)의 문제 해결을 위한 산업특화 AI 에이전트 기술개발을 통해 글로벌 AI 기술 주도권 확보 및 산업경쟁력 강화 - (내용) 산업 현장의 복잡한 문제를 상황 인지하고 해결 계획을 자율적으로 수립 및 실행하는 AI에이전트 개발 및 실증 2024 2025(2025.12월말) 2026 예산 예산액 (추경) 예산 현액 집행액 [실집 행액] 이월액불용액본예산 예산 현액 집행액 [실집 행액] 전년도 이월액 제외 이월 예상액 불용 예상액 예산 현액</t>
  </si>
  <si>
    <t>섬유패션산업활성화기반마련</t>
  </si>
  <si>
    <t>세포및유전자치료제제조공정고도화기술개발(R&amp;D)</t>
  </si>
  <si>
    <t>- (세포및유전자치료제 제조공정 고도화 기술개발사업) 차세대 모달리티 의약품인 세 포및유전자치료제의 고품질 제조공정 핵심시스템 개발 및 GMP 내 검증 등을 통 한 국내 첨단바이오기업들의 글로벌 제조경쟁력 확보 및 시장 진출 유도 2024 2025(2025.12월말) 2026 예산 예산액 (추경) 예산 현액 집행액 [실집 행액] 이월액불용액본예산 예산 현액 집행액 [실집 행액] 전년도 이월액 제외 이월 예상액 불용 예상액 예산 현액 집행액 [실집</t>
  </si>
  <si>
    <t>소재부품산업기술개발기반구축(R&amp;D)</t>
  </si>
  <si>
    <t>- (소재부품산업기술개발기반구축) 첨단산업 육성 및 공급망 안정화를 위해 첨단 미 래·전략산업* 분야의 사업화 과정(기술개발 포함)에서 필요한 연구시설·장비를 구축 하고 이를 통한 소재개발, 신뢰성향상, 시제품 제작 등을 지원 * 국가전략기술, 소부장 핵심전략기술 기반구축 → 소재개발, 신뢰성향상, 시제품 제작 지원 등 → 사업화 - (소재부품기술기반혁신) 첨단 소부장 분야 R&amp;D·사업화 과정에서 필수적이지만 개 별 중소·중견기업이 구축하기 어려운 공동 활용 인프라를 대학·연구기관 등 비영리법 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 정책 및 기업경영의 기초자료제공 - (극한·극지 산업용 화합물반도체 제조 인프라 구축) 쇄빙선, 위성, 방산 등 극한·극 지 환경에서 안정적으로 작동할 수 있는 고신뢰성 전력반도체 기술개발에 필수적으</t>
  </si>
  <si>
    <t>열공정특화제조AI파운데이션모델개발(R&amp;D)</t>
  </si>
  <si>
    <t>의료데이터합성기술및의료인공지능기술기반디지털의료제품개발(R&amp;D)</t>
  </si>
  <si>
    <t>- (사업목적) 데이터 합성 기술 및 생성형 AI 기술을 통해 질환 속성을 유지한 의료데이터를 마련, 의료데이터 사용 난제(데이터 보안, 개인정보보호법, 의료법 등)를 해결 - (사업내용) 데이터 합성 기술을 활용, 의료데이터 등을 대체할 수 있는 고품질 합성 (synthetic) 데이터 생성 기술을 개발하고, 합성된 의료/비의료 데이터를 활용하여 온-디 바이스 AI 및 인공지능 기술이 적용된 첨단 디지털의료제품 및 인허가 자동화 기술개발</t>
  </si>
  <si>
    <t>자동차산업기술개발(R&amp;D)</t>
  </si>
  <si>
    <t>ㅇ 사업목적 - 국가 기간산업인 자동차 산업의 지속가능한 성장동력 확보와 미래차(전기·수소차, 자율주행차) 패러다임 전환에 대응하기 위한 핵심 기술개발 및 기반구축지원 - (기술개발) 글로벌 자동차 산업 패러다임 변화에 대응하기 위한 핵심부품/SW 고도화 및 미래차(전기수소차, 자율주행차) 요소기술 개발을 통한 기술 경쟁력 확보 - (기반구축) 자동차 핵심부품개발 및 공동활용 인프라 구축 지원을 통해 중소·중견 기업의 산업기술 혁신역량 제고 ㅇ 사업내용 ①(그린카: 계속) 전기차, 수소차, 하이브리드, 친환경 내연기관의 이산화탄소 배출 저감및 연비 성능 개선 등 친환경 자동차에 대한 R&amp;D 과제를 지원하는 프로그램형 사업* * ‘20년일몰관리혁신선정됨에따라계속사업으로전환되었고, 친환경차부문기술로드맵과산업계 기술수요를반영하여매년신규과제를발굴·지원하는사업 ②(스마트카: 계속) 국제 규제 및 표준에 대응하고, 자동차 산업의 디지털 전환을 위해 최첨단 ICT기술을 융합한 인공지능·자동화·지능화 중심의 R&amp;D과제를 지원하는 프로그램형사업* * ‘20년일몰관리혁신선정됨에따라계속사업으로전환되었고, 스마트카부문기술로드맵과산업계 기술수요를반영하여매년신규과제를발굴·지원하는사업 ③(디지털전환 가속화를 위한 자율배송 모빌리티 및 커넥티비티 플랫폼개발) 디지털 전환을 통한 모빌리티 산업의 국제 경쟁력 강화 및 지능형 물류 배송 생태계 구축을 위한 실외 커넥티드 자율배송 모빌리티 핵심기술 개발 ④(자율주행기술개발혁신: ‘21~’27) ’27년 융합형 레벨 4+ 자율주행차 상용화 기반 완성과 자율주행 신산업 육성을 통한 안전하고 편리한 국민의 삶 실현 ⑤(미래모빌리티차세대전자아키텍처개발: ‘23~’26) 미래모빌리티 혁신을 주도하는 소프트웨어 중심차량(SDV)을 위한 차세대 전자아키텍처 개발을 통해 미래 자동차산업의 기술경쟁력 확보 및 국내 중소·중견기업의 SW 사업화 모델 발굴 ⑥(EV국민경차상용화지원플랫폼구축사업: ‘23~’27) 경형 SUV 전기자동차 개발 및 사업화 지원을 위한 시험평가 장비 등 상용화 지원 플랫폼 구축 ⑦(수소상용차및연료전지산업고도화를위한지역간기술협력플랫폼구축: ‘23~’26) 수소상용차전용 연료전지부품 개발 및 수소상용차 산업을 육성하기 위한 시험 평가 장비 등 지원기반 구축 ⑧(수요맞춤형전기다목적자동차개발: ‘23~’26) 내연기관 다목적 자동차부품업계의 전동화 전환을 위한 다양한 전기 다목적자동차의 전기전력 및 샤시플랫폼 성능평가 장비구축</t>
  </si>
  <si>
    <t>자원안보를 위한 고부가가치 한국형 텅스텐 전주기 기술 개발 및 실증</t>
  </si>
  <si>
    <t>- (자원안보를 위한 고부가가치 한국형 텅스텐 전주기 기술 개발 및 실증) 국가핵심 광물의 특정국 의존도를 낮추고, 자력 공급망을 갖추기 위하여 국내 부존 핵심광 물인 텅스텐 광물(회중석)의 고효율 생산기술, 전주기 모니터링 및 실증을 통한 산 화텅스텐 국내 내수량 확보</t>
  </si>
  <si>
    <t>자율형소프트로봇핵심기술국제공동연구(R&amp;D)</t>
  </si>
  <si>
    <t>제조AI 데이터 벨류체인 구축</t>
  </si>
  <si>
    <t>□(사업목적) 제전통 제조산업(주조, 금형/소성가공, 정밀가공, 열처리, 용접) 분야 중소·중 견기업의 제조데이터 구축/평가/인증을 지원하여 공급기업 중심 AX 사업을 수요기업 중심으로 지원</t>
  </si>
  <si>
    <t>제조데이터표준·인공지능활용제품전주기탄소중립지원기술개발(R&amp;D)</t>
  </si>
  <si>
    <t>- (목적) 글로벌 공급망 규제 관련 핵심산업 대상 제품 전주기 MCF 플랫폼 개발 및 제조데이터 표준(AAS*) 기반 핵심공정 탄소 저감기술 개발 * (AAS, Asset Administration Shell) 현실 세계의 물리적 자산을 가상 세계의 디지털 자산으로 구현 하기 위한 표준 기반 인터페이스(통신, 데이터 모델, 자산의 사양 및 기능) 모델링 체계 - (내용) AAS 표준 기반 상호 호환·연계되는 제조데이터를 기반으로, 공정 운영 全 과정에서 발생하는 탄소 배출관리 통합 플랫폼 및 탄소 저감 AI 솔루션 개발 2024 2025(2025.12월말) 2026 예산 예산액 (추경) 예산 현액 집행액 [실집 행액] 이월액불용액본예산 예산 현액 집행액 [실집 행액] 전년도 이월액 제외 이월 예상액 불용 예상액 예산</t>
  </si>
  <si>
    <t>제조특화 초거대 제조AI 서비스 개발 및 실증</t>
  </si>
  <si>
    <t>- (제조특화 초거대 제조AI 서비스 개발 및 실증) ․초거대 제조AI적용 제조 솔루션 新산업을 육성하기 위해서 ①산업단지 내 제조·협력 기업을 대상으로 수집이 가능한 모든 분야의 제조 데이터 수집 체계를 구축하고, ②수집된 데이터를 활용해서 해당 공정 혹은 공장에 특화된 초거대 제조 AI모델을 구축, 응용서비스 제조현장에 적용하여 기술을 실증하고, 사업명 2024년 결산 2025년 예산 2026년 증감 (B-A) 본예산(A) 추경 요구안 확정(B) (B-A)/A 제조특화 초거대 제조 AI 서비스 개발 및 실증 1,400 5,920 5,920 7,680 7,680 1,760 29.7 2024 2025(2025.12월말)</t>
  </si>
  <si>
    <t>조선해양산업기술개발(R&amp;D)</t>
  </si>
  <si>
    <t>□(조선해양산업기술개발) 해외 환경·안전규제 대응 및 新시장 조기선점을 위한 미 래형선박 및 해양플랜트 분야 핵심·원천 기술개발, 설계능력 고도화를 통한  조 선해양·기자재 산업 진흥 - (조선해양산업핵심기술개발) 주요 수출국의 환경·안전규제 대응 및 新시장 조기선 점을 위한 미래형 조선 및 해양플랜트분야 핵심·원천 기술, 관련 기자재 개발 - (친환경선박전주기핵심기술개발) IMO 규제 대응력 확보 및 연안‧대양 선박의 동 시 글로벌 미래 시장 선도를 위한 친환경선박 핵심기술 개발 및 실증, 국내외 기 술표준화, 법‧제도 개선 지원 - (선박해양의장설계디지털전환핵심기술개발) 선박·해양플랜트 의장설계의 디지털 전환 환경 구현 및 중소 조선사로 성과확산을 통한 생태계 강화 - (선박소부재생산지능화혁신기술개발) 조선업 시황 회복 및 4차 산업혁명 대응을 위해 소부재 생산 자동화 시스템 개발을 통한 조선소 생산 경쟁력 및 원가 절감 제고 - (액체수소운반선상용화기반기술개발) 탈탄소 사회 구현을 위한 수소 해상운반ㆍ저 장기술 확보로, 세계 1등 수소산업 육성 및 조선산업 초격차 경쟁력 확보 - (해양모빌리티스마트페인팅시스템기술개발) 선박 표면처리 및 페인팅 세부 공정의 특성을 반영한 최적 자동화 기술 확보 및 실증을 통한 조선업 생산 건조역량 확 보 및 인력수급 대응 - (조선산업생산협업디지털전환기술개발) 세계 최초 및 최고 수준의 조선 협력사 전 용 디지털 생산관리·계획 시스템과 조선소-협력업체간 협업플랫폼 개발 - (조선소중대형블록지능형핸들링및취부/용접기술개발) 선박 블록의 중조립 공정의 혁신적인 생산시간 절감 및 품질향상을 위한 지능형 취부 및 용접 기술개발 - (선박용CO2포집시스템기술개발및실증) 국제해사기구 온실가스 배출 규제 대응을 위한 선박용 CO2 포집 시스템 개발 및 해상 실증을 통한 Track Record를 확보하여 선박용 CO2포집 시스템 신규시장 주도 기반 확보 - (북극항로운항선박핵심기술개발) 극지운항선박 모형시험 결과에 따른 설계, 최적 경로 운항, 추진 관련 기자재 등의 기술개발 및 성능검증 - (자율운항선박AI데이터플랫폼기술개발) 자율운항 플랫폼용 데이터의 확보를 위한 AI 데이터 센터 구축</t>
  </si>
  <si>
    <t>지식서비스산업기술개발(R&amp;D)</t>
  </si>
  <si>
    <t>- (세부사업 : 지식서비스산업기술개발) 지식서비스산업 핵심기술개발을 통해 제조업이 직면한 문제를 해결하고 제조-서비스 융합기술 개발을 통한 新서비스산업 창출 - (내역사업 1 : 서비스핵심기술개발) 서비스요소기술을 기반으로 수요자 관점의 제조 전환, 제조업이 직면한 문제(생산성·효율성 감소, 숙련기술 단절 등) 해결 등 고부가 가치를 창출하여 제조 기술경쟁력 및 시장경쟁력 회복 - (내역사업 2 : 서비스산업융합고도화) 첨단기술을 활용한 기존서비스 고도화 및 산업· 기술간 융합 서비스 모델 발굴, 新서비스 수요급증에 대응한 서비스 개발 지원 2024 2025(2025.12월말) 2026 예산 예산액 (추경) 예산 현액 집행액 [실집 행액] 이월액불용액본예산 예산 현액 집행액 [실집 행액] 전년도 이월액 제외 이월 예상액 불용 예상액</t>
  </si>
  <si>
    <t>□(지역거점AX혁신기술개발) 대구지역 특화 산업인 로봇산업의 AX 촉진을 위한 완 전 자율 휴머노이드 로봇개발 등 추진 ①(휴머노이드특화AI기술개발) 자율협업 모바일 매니퓰레이터, 제조현장 맞춤형 AI 휴머노이드 플랫폼 등 주요 플랫폼 개발 지원 ②(휴머노이드제품개발) 작업현장에 적합한 물류창고용, 방제 농업용, 재난구조용, 범용 생산공정용 로봇 개발 지원 ※ (추진배경) 휴머노이드를 비롯한 AI 기반 로봇이 AI 기술 혁신에 따라 급격히 발달하며 산업 AX의 중심으로 부상 - 글로벌 AX 경쟁에서 앞서나가려면 국가 차원의 AX 생태계 구축과 함께 AX 혁신거점을 육성 하여 로봇 등 산업 AX를 신속히 촉진할 필요 - AX 시대 돌입에 발맞춰 로봇 산업이 밀집된 대구지역을 중심으로, 산업 생산성 고도화를 위한 로봇 특화 AX 기술 및 제품개발 필요 * 대구는 국가로봇테스트필드, 현대로보틱스 등 주요기업이 소재한 로봇산업 중심지 ※ (필요성) AI 기술전쟁은 산업의 AX 역량 확보 여부가 성패를 좌우 - 초거대 AI 등장으로 AI는 기술적 변곡점에 도달하였으며, 모든 제품·서비스에 AI가 내재화*되는 “AI 전환(AX)”이 본격화된 상황 * 예 : AI가 탑재된 휴머노이드 로봇, 온디바이스 AI, 자율주행 모빌리티 등 - 국가차원의 AX 생태계 구축을 위한 AX 혁신거점을 육성하고, 로봇 등 산업의 AX를 신속히 촉진 할 필요 - 특히, 휴머노이드 로봇은 미래 산업경쟁력의 핵심기반으로 부상중 【 휴머노이드 로봇 산업의 중요성 】 ➊ 미래 “1가구 1로봇” 전망 등 그 자체로 시장성이 높은 유망산업 * 일론머스크 “2040년이 되면 인구보다 많은 약 100억대의 휴머노이드가 등장할 것“ ➋ 생산성 정체, 인구감소 등에 직면한 제조업의 미래 경쟁력과 직결 ➌ AI·반도체·배터리·센서 등 첨단 산업의 성장과도 밀접한 관계* * 휴머노이드는 ①디지털을 넘어 오감 인지와 물리적 제어까지도 가능한 AI, ②고성능·저전력 반도체 칩, ③고출력·안정 성을 함께 갖춘 배터리 등 첨단기술이 집약 - 미국과 같은 투자, 중국과 같은 막대한 정부지원*이 어려운 상황에서 휴머노이드 연합 및 혁신거점 등을 통해 역량을 결집할 필요 * (美) 테슬라·FigureAI·엔비디아 등 빅테크·스타트업 중심으로 대규모 투자가 진행</t>
  </si>
  <si>
    <t>지역전략산업기반고도화(R&amp;D)</t>
  </si>
  <si>
    <t>- (지역전략산업기반고도화) 지역의 제조생산성 약화 및 유럽의 탄소무역조정제도 등 규제에 대응하기 위해 지역 주력산업의 디지털전환(DX), 청정생산(GX) 인프라 고도화 및 연계협력 네트워크 마련으로 지역경제 활성화 * WTO(1995) 출범이후 인프라 간접지원을 통해 제품 생산단가 절감 지원 2024 2025(2025.12월말) 2026 예산 예산액 (추경) 예산 현액 집행액 [실집 행액] 이월액불용액본예산 예산 현액 집행액 [실집 행액] 전년도 이월액 제외 이월 예상액 불용 예상액 예산 현액 집행액</t>
  </si>
  <si>
    <t>철강·금속 인공지능전환(AX) 실증센터 구축</t>
  </si>
  <si>
    <t>ㅇ (목적) 철강·금속 제조 및 가공산업 AX 내재화 실현을 위한 AX 종합지원센터 및 실증 인프라 구축 ㅇ (내용) 실증 기반 철강·금속 산업 AX 종합지원센터 구축 - 철강·금속 제조 및 가공 산업 AX 지원 통합 인프라 구축 - 디지털트윈 기반 AX 실증 인프라 통합관제실 구축ㆍ운영 - 철강·금속 제조 및 가공 기업 AX를 위한 표준 AI 모델 및 기업 맞춤형 AI 서비스 개발ㆍ지원 - 기업 AX 성숙도에 따른 단계별 기업지원을 통한 기업 AX 내재화 지원 2024 2025(2025.12월말) 2026 예산 예산액 (추경) 예산 현액 집행액 [실집 행액] 이월액불용액본예산 예산 현액 집행액 [실집 행액] 전년도 이월액 제외 이월 예상액 불용 예상액</t>
  </si>
  <si>
    <t>철강산업 AI융합실증 허브 구축사업</t>
  </si>
  <si>
    <t>ㅇ (목적) 철강산업 위축, 산업안전·환경 등 노후화된 철강산업의 인공지능 전환(AX) 융합 실증 허브 구축을 통한 철강산업 진흥 기반 마련 ㅇ (내용) 철강AI 허브센터 인프라 구축 및 철강AI 개발-실증 전주기 지원체계 구축 - (철강AI 허브센터 인프라 구축) 철강기업 AI 개발 및 실증 가속화를 위한 공용 핵심 인프라 허브 구축 - (철강AI 개발-실증 전주기 지원 체계구축) 철강특화 AI 솔루션 및 기업지원 체계 구축 2024 2025(2025.12월말) 2026 예산 예산액 (추경) 예산 현액 집행액 [실집 행액] 이월액불용액본예산 예산 현액 집행액 [실집 행액] 전년도 이월액 제외 이월 예상액 불용 예상액 예산</t>
  </si>
  <si>
    <t>첨단민군융합기술개발(R&amp;D)</t>
  </si>
  <si>
    <t>한국형Manufacturing-X플랫폼표준모델개발및실증(R&amp;D)</t>
  </si>
  <si>
    <t>- (목적) 전 산업의 다양한 주체가 자유롭게 참여하고, 데이터를 안전하게 연결·공유 할 수 있는 한국형 Manufacturing-X 플랫폼 표준모델 설계·구현 및 실증 지원 - (내용) M-X 플랫폼 요소기술 및 표준모델 5종 개발, 국제상호인정 및 실증 추진 ․(공통 기술 개발) 유럽의 표준 데이터 스페이스 기술을 기반으로, 국내 제조 산업 데이터의 연계 및 활용 촉진을 위한 공통 요소 및 서비스 기술 개발 ․(M-X 모델 개발) M-X 기반에서 AI 서비스 개발에 활용할 수 있는 5대 AI 기반 핵심 공통 모델* 개발 * ①공급망수요관리, ②디지털트윈연계, ③자동화‧예지보전, ④품질검사‧불량예측, ⑤에너지최적화‧탄소저감 ․(표준개발·인정) 시스템 및 데이터 표준 개발 및 보급, 국제상호인정 추진 ․(실효성 검증 및 실증) 자동차, 전자 등 2개 산업에서의 대표기업 중심 데이터 BM 수립 후 사용성, 경제성, 등 평가 통해 피드백 실시 2024 2025(2025.12월말) 2026 예산 예산액 (추경) 예산 현액 집행액 [실집 행액] 이월액불용액본예산 예산 현액 집행액 [실집 행액] 전년도 이월액 제외 이월</t>
  </si>
  <si>
    <t>소방청</t>
  </si>
  <si>
    <t>119빅데이터 분석운영</t>
  </si>
  <si>
    <t>ㅇ(119빅데이터 분석운영) 빅데이터를 활용한 선제적 정책 수립 및 과학적 현장 대응 ㅇ(주요내용) - (빅데이터 분석) 재난안전 현안에 대한 데이터 분석으로 정책수립 및 현장대응 지원 - (빅데이터 운영) 데이터위원회, 분석 및 시각화 활용 공공 AI·데이터 역량강화 교육 운영 - (소방안전 빅데이터 플랫폼 위탁운영) 소방 출동, 소방 IoT, 건물 화재보험 등 국민의 안전과 관련된 정보를 효율적으로 생산·개방하기 위해 데이터 전문업체 플랫폼 민간 위탁운영 - (시각화SW 구매) 시각화·GIS 전문도구 도입, 분석결과의 성능향상 및 인사이트 도출 지원</t>
  </si>
  <si>
    <t>소방정보시스템구축(정보화)</t>
  </si>
  <si>
    <t>- (소방정보시스템 국고보조지원) 소방 현장영상과 스마트시티 CCTV 영상 등의 통합 관제체계 구축을 위한 관련기관 CCTV 영상정보 연계사업 시·도 확산 지원 - (소방정보시스템 구축·운영) 전국 소방관서에 보급·운영 중인 소방정보시스템의 안정적인 운영과 기능 고도화를 통한 신속한 소방서비스 제공·지원 - (비상위성통신망 구축·운영) 지진, 산불 등 대형재난 발생으로 인한 기지국 소실 등 유무선 통신망의 두절 상황에 대비하여 위성통신망 및 위성중계차량 등 긴급통신 수단을 마련함으로써 안정적인 재난 대응을 지원 - (소방항공 운항관리시스템 구축·운영) 전국소방헬기 통합운영, 소방 국가직화등에 따라 시·도별 분산된 소방항공 업무 표준화를 위한 운항관리시스템 구축·운영 - (소방 긴급구조 데이터망) 소방청, 중앙119구조본부, 전국 19개 시·도 소방본부 구간의 긴급구조 업무용 정보, 재난영상, 실시간 영상회의 등 대용량의 데이터 전송 및 개인 정보, 주요정보 외부 유출 차단을 위한 전용망 운영 구분 2024 2025 2026 예산 예산액 (추경) 예산 현액 집행액 [실집 행액] 이월액불용액본예산 예산 현액 집행액 [실집 행액]</t>
  </si>
  <si>
    <t>위험물 시설 화재·폭발 사고 예방 및 대응 기술개발(R&amp;D)</t>
  </si>
  <si>
    <t>식품의약품안전처</t>
  </si>
  <si>
    <t>AI 기반 독성예측 평가기술 개발연구(R&amp;D)</t>
  </si>
  <si>
    <t>- (AI 기반 독성예측 평가기술 개발연구) 의약품에 대한 기존 부작용(독성)평가 결과의 개인별 적용 한계 극복을 위해 국내 의약품 복용 환자 대상 의료기관의 빅데이터·AI를 활용한 부작용(독성)예측 평가기술 개발을 위한 연구를 지원하는 것임 - (의료정보 연계통합 오믹스 기반 의약품 부작용 예측 평가 연구) 한국인 환자 중심의 의약품 부작용 및 독성예측기술개발을 위한 기반 구축을 위해 환자 시료(혈액, 뇨, DNA 등) 수집을 통한 통합 오믹스 빅데이터 구축 연구를 지원하는 것임 - (통합 오믹스 AI 기반 부작용 및 독성 예측 평가기술 개발) 대사체 및 의료 빅데이터 기반 개인 맞춤형 독성예측평가 기술 확보를 위해 AI 기반 개인별 맞춤형 의약품 부작용(독성) 예측 평가 기술 개발 연구를 지원하는 것임</t>
  </si>
  <si>
    <t>AI응용제품 신속 상용화 지원사업(식품·의료기기 등)</t>
  </si>
  <si>
    <t>○(AI응용제품 신속 상용화 지원사업) 산학연 역량을 집결, 유망 AI 융합분야의 상용화 및 확산을 지원 - (첨단 AI 기반 디지털의료기기 신속제품화 지원사업) 의료기기산업의 디지털 전환을 가속화할 게임체인저(game changer)로서 핵심 제품을 중점 지원하여 디지털의료기기 등의 신속 상용화 지원 - (식육 AI 이물검출기 개발사업) 현재의 식육 이물 검출 방식의 한계를 넘어 정확도와 검출률을 높일 AI 기반 식육 이물검출기 개발을 지원</t>
  </si>
  <si>
    <t>식의약품 안전정보체계 선진화(정보화)</t>
  </si>
  <si>
    <t>- 식의약품 민원서비스 개선, 업무처리 효율화, 대국민 정보제공 강화 및 시스템 활성화 등을위한 정보시스템 구축 및 성능개선을 추진하여 식의약품 안전정보체계 선진화 ▪(식품 안전 정보화) 국가 식품안전정보를 통합 구축하고 과학적 행정 및 대국민 정보제공 ▪(의료제품 안전 전산화) 국제기준에 조화하고 의료제품 전주기 안전관리 및 대국민 정보제공 ▪(정보보호) 정보보호 예방·대응 능력 강화를 위한 사이버안전센터 운영 및 기반 지원</t>
  </si>
  <si>
    <t>신기술 적용 식품(푸드테크) 안전기술 지원(R&amp;D)</t>
  </si>
  <si>
    <t>중독자 데이터 기반 마약 중독 재활기술 개발연구(R&amp;D)</t>
  </si>
  <si>
    <t>(중독자 데이터 기반 마약 중독 재활기술 개발연구) 동 세부사업은 마약류 중독자의 사회 복귀를위한 개인 맞춤형 재활 및 재발 예측 기술 개발 연구지원하는 것임 - (AI 기반 마약중독 맞춤형 재활 기술 개발) 동 내역사업은 마약류 중독자 데이터를 활용 하여 마약 중독 단계별 뇌변화 모니터링, AI 기반 재활 및 재발 예측 모델 개발, 마약류 중독·재발 기전 예측 모델 개발 등을 통해 개인 맞춤형 치료·재활 기술 개발 지원하는 것임</t>
  </si>
  <si>
    <t>컴퓨터모델링 기반 의료기기 평가체계 구축(R&amp;D)</t>
  </si>
  <si>
    <t>- (컴퓨터모델링 기반 의료기기 평가체계 구축) 컴퓨터모델링 및 시뮬레이션(CM&amp;S) 기반 의료기기 디지털 개발 도구(M3DT) 개발 및 첨단 AI 기술 기반 디지털의료제품 위험 분석·관리 시스템 개발 - (컴퓨터모델링 시뮬레이션 디지털 평가기반 마련) 동 내역사업은 디지털 트윈의 핵심 기술인 컴퓨터모델링 및 시뮬레이션(CMS)을 이용한 의료기기 디지털 개발도구 (Medical Device Digital Development Tool, M3DT)의 개발로 의료기기 디지털 평가 기반 구축을 지원하는 것임 ○CMS(Computational Modeling and Simulation): 현실세계를컴퓨터기반의가상시스템에구현및 구동하는기술 ○M3DT(Medical Device Digital Development Tools) - 의료기기의안전성및유효성을평가하는데사용하는디지털화된가상의평가도구 - 기존의의료기기평가체계에디지털처리기술을접목한평가기술자체를의미할뿐만아니라, 평가 기술을디지털화하기위해필요한다양한평가·개발도구를포함함 - (첨단의료 AI 안전성‧신뢰성 향상 기술개발) 동 내역사업은 생성형 AI, 멀티모달 AI 등 첨단 AI 기술에 기반한 디지털 의료제품의 안전성과 신뢰성 향상을 위한 기준 및 시스템을 개발하고, 디지털 의료제품의 제조‧수입 등 취급과 관리 및 지원할 수 있는 근거를 마련하는 것임</t>
  </si>
  <si>
    <t>외교부</t>
  </si>
  <si>
    <t>외교업무 디지털 혁신(정보화)</t>
  </si>
  <si>
    <t>ㅇ 포스트 코로나 시대 디지털 핵심기술(데이터-스마트 업무환경-인공지능) 을 업무에 적용하여 외교환경의 변화와 업무영역의 확대에 선제적으로 대응 이 가능한 업무환경 마련 ㅇ 디지털 핵심기술을 업무에 적용, 행정 인프라 강화 및 외교업무 지능화 · (스마트 업무환경) 포스트 코로나 시대 비대면·현장 중심 업무방식 지 원 (전용 노트북으로 재택·현장업무 수행) · (AI) 정형화된 자료 수집·작성 등 단순·반복 업무를 자동화하여 외교역 량을 핵심 업무에 투입할 수 있는 기반 마련 · (데이터) 각종 외교정보 및 해외 공개정보 적시 수집 및 활용 역할의 중 요성 증가에 따라 정부기관 및 정책결정자, 기업 및 일반 국민이 필요로 하는 다양한 형태의 데이터 제공 지원</t>
  </si>
  <si>
    <t>우주항공청</t>
  </si>
  <si>
    <t>국제 거대전파망원경 건설 사업(R&amp;D)</t>
  </si>
  <si>
    <t>- (국제 거대전파망원경 건설 사업(R&amp;D)) 인류 최대규모의 SKA* 데이터 우선 활용과 AI 활용 천문우주 난제 도전, 국가 간 분산형 네트워크 구축으로 빅데이터 활용 강국 도약 * 국제 거대전파망원경(Square Kilometre Array): 총 집광 면적이 1km2로 세계 최대 규모의 전파망원경 - (기여금) - 국제기구 SKAO*의 국제 분담금, SKA 건설 및 운영에서 국내기업의 참여를 위한 기반 마련 * 국제 거대전파망원경 관측소(Square Kilometre Array Observatory): SKA 건설 및 운영 총괄 - (기술개발 및 천문연구) - 차세대 전파관측 기술개발 참여 및 5개 이상 대학 기관의 참여를 통한 AI 활용 천문우주 난제 도전 - (SKA 데이터센터) - SKA 빅데이터의 효율적인 배포, 분석 등을 위한 국가 간 분산형 네트워크 (SRCNet)의 한국 지역망 구축과 AI 활용 플랫폼 및 소프트웨어 등 개발 2024 2025(2025.12월말) 2026 예산 예산액 (추경) 예산 현액 집행액 [실집 행액] 이월액불용액본예산 예산 현액</t>
  </si>
  <si>
    <t>우주전파재난 위험분석 및 대응기술 개발(R&amp;D)</t>
  </si>
  <si>
    <t>한국항공우주연구원 연구 운영비 지원(R&amp;D)</t>
  </si>
  <si>
    <t>□항공우주 과학기술영역의 새로운 탐구, 기술선도, 개발 및 보급을 통하여 국가 경제의 발전과 국민생활 향상에 기여</t>
  </si>
  <si>
    <t>항공AI 안전성 확보를 위한 자율임무 신뢰성 보증기술 개발(R&amp;D)</t>
  </si>
  <si>
    <t>인사혁신처</t>
  </si>
  <si>
    <t>국가인재개발 지능형 오픈 플랫폼 운영(정보화)</t>
  </si>
  <si>
    <t>전자인사관리시스템운영(정보화)</t>
  </si>
  <si>
    <t>- (전자인사관리시스템 유지관리 및 운영지원) 전자인사관리시스템(e-사람)의 효율적인 유지보수 및 운영을 통해 중앙행정기관 40만 공무원 인사·급여·복무 등 인사행정 전반의 업무를 체계적으로 지원 - (전자인사관리시스템 기반전환) 노후화된 e-사람을 재구축하여 정부 인사행정 전과정의 디지털 전환을 통해 일 잘하는 정부 구현</t>
  </si>
  <si>
    <t>조달청</t>
  </si>
  <si>
    <t>조달정보화(정보화)</t>
  </si>
  <si>
    <t>- (세부사업명 : 조달정보화(정보화)) : (공공조달의 효율성 제고) 7만 2천 공공기관과 60만 조달업체가 함께 사용하는 국가종합전자조달시스템(나라장터)를 보다 효율적·안정적으로 운영하고 전자조 달서비스를개선함으로써 공공조달의 효율성 제고 ▪나라장터 시스템 기능 개선을 통한 이용편의 제고 및 유지보수 예산절감 ▪나라장터에 대한 해킹 및 침해사고 방지를 위한 정보보호 수준 제고 : (공공조달의 투명성 확보) 나라장터의 이용 확산을 통해 공공조달의 투명성·공 정성을확보하고 중복투자를 예방함으로써 공공기관·조달업체, 민간의 사회 적 조달비용절감을 유도 : (공정한 조달시장 조성) 공공 조달시장에서 발생되는 직접생산 위반, 단가 부 풀리기등의 각종 불공정 행위를 효율적으로 감시하여 공정한 조달시장을 조성 2024 2025(2025년 11월말) 2026 예산 예산액 (추경) 예산 현액 집행액 [실집 행액] 이월액불용액본예산 예산 현액 집행액 [실집 행액] 전년도 이월액</t>
  </si>
  <si>
    <t>중소벤처기업부</t>
  </si>
  <si>
    <t>ICT융합스마트공장보급확산</t>
  </si>
  <si>
    <t>- (ICT융합 스마트공장 보급·확산) 대내외 환경변화의 효과적 대응을 위해 제조 중소‧ 중견기업 대상 DX 맞춤 지원 사업 - (제조혁신 구축지원) 동 내역사업은 한국 제조현실에 적합한 제조 혁신을 중소‧중견 기업 대상으로 지원하여 전체 제조업의 경쟁력 향상 도모 ①(선도형 제조혁신) 중소․중견 제조기업을 대상으로 스마트화 기반 강화와 생산성 향상 등 제조업 경쟁력 제고를 위해 스마트공장 구축 지원 ②(제조혁신 자동화) 제조로봇‧자동화설비 등을 통한 생산성 향상, 산업재해 감소, 인력난 해소 등 제조공정의 디지털 전환으로 국내 제조업의 경쟁력 향상 ③(스마트공장 수준확인) 스마트공장 구축 수준확인 제도 운영을 통한 민간의 자발적인 스마트공장 구축 확산 - (제조혁신 인프라조성) 스마트공장 도입기업의 운영 애로사항 해결을 위한 컨설팅을 지원하고, 공급기업 역량진단 및 제조솔루션 구축을 통한 스마트공장 활용도 제고 ①(공급기업 역량진단) 공급기업의 객관적인 역량결과를 제공하여 자발적 역량강화촉진, 전문기업 지정 및 우수공급기업 정보공개를 통해 양질의 스마트공장 구축 지원 ②(클라우드 종합솔루션) 중소 공급기업의 제조솔루션 클라우드 전환 및 다수의 제조 솔루션을 통합하여 클라우드‧패키지 형태로 개발 지원 ③(제조DX멘토단 활용지원) 스마트공장 도입기업의 운영 애로사항 해결을 위한 제조혁신 전문가 컨설팅 지원과 사후관리 지원 - (제조데이터 생태계 구축) 스마트공장의 ①업종별 공정, ②장비별 제조데이터 표준화를 통해 표준기반의 스마트공장 구축을 촉진하여 스마트제조 생태계 활성화 ①(국가표준정책연구) 제조현장의 생산성 제고를 위한 스마트공장 표준개발 및 활용지원 ②(제조데이터 표준화) 현장설비의 각기 다른 데이터 정보들을 표준화하여 장비‧ 공정 간 데이터 연계를통해 공정 최적화 및 협업기업간 데이터 공유 기반 마련 - (AI 응용제품 신속 상용화) 중소제조현장의 신속한 AI전환 촉진을 위해 1~2년 내 성과도출이 가능한 스마트제조 분야 AI 제품·서비스 상용화 및 확산 지원</t>
  </si>
  <si>
    <t>데이터 인프라구축(정보화)</t>
  </si>
  <si>
    <t>- (데이터인프라 구축사업) 중소 제조기업의 데이터 및 인공지능 활용을 촉진하는 민간 클라우드 기반의 제조분야 디지털전환 종합 플랫폼(제조DTaaS) 구현 - (데이터인프라구축) 중소 제조기업의 AI 분석 기반 제조데이터 활용을 지원하는 인공지능 제조 플랫폼(KAMP)의 운영 - (데이터거래지원) 제조데이터 공유 활성화를 위한 데이터 가공, 구매비용 지원, 제조데이터 거래소 운영 및 민간 주도의 컨설팅 지원</t>
  </si>
  <si>
    <t>스마트 제조혁신 기술개발사업(R&amp;D)</t>
  </si>
  <si>
    <t>- (스마트 제조혁신 기술개발사업) 스마트 제조혁신 고도화와 스마트공장 공급기업의 경쟁력 제고를 위해 스마트제조 3대분야(①첨단제조, ②유연생산, ③현장적용)의 공급기술 개발 지원 * 스마트 제조혁신 고도화를 안정적으로 뒷받침할 공급기술을 확보하고, 공급기업을 육성하고자 예비 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t>
  </si>
  <si>
    <t>신성장기반자금(융자)</t>
  </si>
  <si>
    <t>- (혁신성장지원) 사업성과 기술성이 우수한 성장유망 중소기업의 생산성향상, 고부가 가치화 등 경쟁력 강화에 필요한 자금을 지원하여 성장 동력 창출 - (제조현장스마트화) 4차 산업혁명을 대비하여 중소기업의 제조현장 스마트화 및 생산 공정 혁신을 지원함으로써 기업경쟁력 제고 및 산업 고도화 촉진 - (Net-Zero 유망기업) 중소기업 그린기술 사업화 및 친환경 제조 전환을 촉진하여 그린경제 기반 구축 및 탄소중립 산업 생태계 조성 - (스케일업 금융) 혁신성장 가능한 중기업의 대규모 자금조달 애로를 해소하여 스케 일업을 지원(P-CBO방식)함으로써 중견기업으로 도약을 지원</t>
  </si>
  <si>
    <t>재도약촉진</t>
  </si>
  <si>
    <t>중소기업 스마트 서비스 지원</t>
  </si>
  <si>
    <t>중소기업모태조합출자</t>
  </si>
  <si>
    <t>ㅇ (중소기업모태조합출자) 벤처투자모태조합이 중소·벤처기업에 대한 투자를 목적으로 결성되는 민간투자조합에 출자 - 성장 잠재력이 뛰어난 중소·벤처기업의 창업을 활성화하고, 기업 성장에 필요한 투자재원을 마련하기 위해 벤처투자조합의 지속적인 결성을 도모 - 국내 벤처캐피탈 산업의 건전한 육성 기반 조성, 민간 주도 벤처투자시장 정착 촉진</t>
  </si>
  <si>
    <t>중소벤처행정정보화(정보화)</t>
  </si>
  <si>
    <t>중소제조 특화 Multi AI Agent개발(R&amp;D)</t>
  </si>
  <si>
    <t>- (중소제조 특화 Multi AI Agent 개발) 중소 제조업의 비정형 작업 대응력 강화와 공정·품질 최적화를 위한 Multi AI Agent 기술개발 지원으로, AX 전환 촉진 및 지속가능한 제조혁신 생태계 조성 - (PoC 시범연구) 중소제조 특화 Multi AI Agent 개발을 위한 ①연구개발 설계(추진 체계 및 역할 등 수립), ②데이터 구축(전처리), ③AI 에이전트 구조설계 기획 지원 - (R&amp;D 지원) 중소제조 특화 Multi AI Agent 개발(비정형 상황 다중 AI 자율결정 모델 개발), 실증 및 확장(개발모델 실증 고도화) 지원</t>
  </si>
  <si>
    <t>지역특화 제조데이터 활성화</t>
  </si>
  <si>
    <t>창업사업화지원</t>
  </si>
  <si>
    <t>ㅇ (창업사업화지원) 창업기업 성장단계별(예비·초기·도약), 초격차 분야별 등 맞춤형 체계를 구축·운영하여 혁신 기술창업을 활성화하고 창업기업의 성장 및 도약 촉진 - (창업패키지) 혁신적인 창업 아이디어를 보유한 예비창업자 및 창업기업(7년이내)의 원활한 창업사업화를 위하여 성장단계별로 사업화 자금, 창업프로그램 등 지원 - (초격차 스타트업 프로젝트) 핵심기술을 보유한 스타트업을 선발, 기술사업화‧스케일업, R&amp;D 지원 및 정책자금‧보증‧수출 등 연계 지원 - (창업중심대학) 권역별 역량이 우수한 대학을 ‘창업중심대학’으로 지정하여 대학발 창업을 활성화하고 기업가형 대학의 선도모델 창출 - (창업지원사업 관리) 「중소기업창업 지원법」제51조에 근거하여 창업진흥원 기관 운영에 수반되는 경비 지원 2024 2025 2026예 산 예산액 (추경) 예산 현액 집행액 이월액 불용액 예산액 (추경) 예산 현액 집행액 이월액불용액 ○기능별 분류(합계) 359,131 359,131 359,131 - -</t>
  </si>
  <si>
    <t>창업성공패키지</t>
  </si>
  <si>
    <t>창업성장기술개발(R&amp;D)</t>
  </si>
  <si>
    <t>ㅇ 창업기업에 대한 전략적 R&amp;D지원을 통해 기술기반 창업기업의 혁신성장을 촉진 하고 창업 강국으로의 도약 - (디딤돌) 잠재 가능성을 보유한 혁신 아이디어, 글로벌 시장진출, 전략기술 등 스타트업의 도전과 기술개발 성과 창출을 견인할 기술을 선별·집중 지원 - (TIPS) 민간의 역량을 활용하여 혁신 창업기업을 선별하고 민간투자와 정부 R&amp;D를 연계하여 고급 기술인력의 창업을 활성화</t>
  </si>
  <si>
    <t>투·융자연계기술개발(R&amp;D)</t>
  </si>
  <si>
    <t>융자를받은 유망 중소벤처기업에 정부가 R&amp;D 자금을 지원하여 본격적인 스케일업 촉진 - (스케일업 팁스) 민간투자사(VC 등), 연구개발전문회사 등 민간 전문역량을 활용하여, 기술집약형 유망 중소벤처기업을 선별하고 스케일업 지원 - (글로벌 팁스) 해외 VC(글로벌 자본)의 검증 또는 글로벌 역량(매출žIPž현지법인)을 보유한 유망 기업을 발굴ž선별하여 기술 스케일업 및 글로벌 진출에 필요한 R&amp;D 지원 - (딥테크 챌린지 프로젝트) 역량, 의지를 보유한 중소벤처기업이 혁신적 R&amp;D에 과감히 도전할 수 있도록 중소벤처기업 주도의 임무(미션) 중심 R&amp;D 프로젝트 전략 지원 - (융자연계형) 유망 중소벤처기업의 고성장 혁신 스케일업 지원을 위한 융자(보증)와 출연(연구개발)을 연계한 전주기 R&amp;D지원</t>
  </si>
  <si>
    <t>표준공정 기반 공정최적화 기술개발(R&amp;D)</t>
  </si>
  <si>
    <t>ㅇ 사업목적 - 중소제조기업의 공정 기술애로 해결을 위해 제조공정 참조모델* 기반으로 공정최적화 R&amp;D 지원을 통한 혁신적인 KPI 제고 및 AX 기반 마련 * 공정별 핵심장비, 자동화율 등 표준화된 공정정보 제공을 위한 제조공정 참조모델 개발(~‘27, 240개) ㅇ 사업내용 - (사전연구 및 제조현장진단) 전문 연구기관이 제조공정 참조모델을 활용하여 공정 분석 및 핵심공정기술 발굴, 제조현장 진단을 통한 공정최적화 방안 도출 - (공정최적화 R&amp;D) 현장진단 기업 중 공정 KPI 개선효과가 큰 과제를 선정하고, AX·DX 기술을 활용한 ①공정최적화 및 ②고도화 R&amp;D지원 * ① 작업 동작, 공정 흐름 등 제조공정에서 발생하는 손실 개선을 위한 공정최적화 기술개발 지원 ② 제조공정의 KPI를 제고할 수 있는 핵심장비·자동화 시스템 고도화 기술개발 지원 2024 2025 2026 예산 예산액 (추경) 예산 현액 집행액 [실집 행액] 이월액불용액본예산 예산 현액 집행액 [실집 행액] 전년도 이월액 제외</t>
  </si>
  <si>
    <t>혁신창업사업화자금(융자)</t>
  </si>
  <si>
    <t>지식재산처</t>
  </si>
  <si>
    <t>지식재산 활용(사업화, 거래, 평가) 지원</t>
  </si>
  <si>
    <t>질병관리청</t>
  </si>
  <si>
    <t>공공기관 임무중심 감염병연구 다부처협력사업(R&amp;D)</t>
  </si>
  <si>
    <t>- (공공기관임무중심감염병연구다부처협력사업(R&amp;D)) (과기부-질병청)공공연구기관 간 백신· 치료제 공동연구 및 국가 통합 라이브러리 구축, 공동 연구인프라 구축 * (평시)감염병 대응기술 공동개발 →(위기시)100/200일 백신·치료제 개발전략 연계 - (내역사업1 백신개발 연구협력) 신변종 감염병 대유행 대비 신속한 백신개발을 위한 국가 백신 라이브러리 구축, 과기부 산하 출연(연)과 질병청의 개별 연구성과 공유 및 연구협력을 통한 백신 항원 라이브러리 구축 연구 고도화 - (내역사업2 치료제개발 연구협력) 신종감염병 대유행 대비 신속한 치료제개발을 위해 연구기관 간 협력체계 고도화를 통한 치료후보 물질/정보 라이브러리 구축, 공공연구 2024 2025(2025.12월말) 2026 예산 예산액 (추경) 예산 현액 집행액 [실집행 액] 이월액불용액본예산 예산 현액 집행액 [실집 행액] 전년도 이월액 제외 이월 예상액</t>
  </si>
  <si>
    <t>국가 통합 바이오 빅데이터 구축 사업(R&amp;D)</t>
  </si>
  <si>
    <t>◦(국가 통합 바이오 빅데이터 구축) 참여자 동의 기반 검체(혈액·소변 등)를 확보*하고, 임상·유전체 및 공공데이터 등을 통합·개방하기 위한 R&amp;D 인프라 구축 * 1단계(’24∼’28년) 77.2만명모집(예타기준6,065.8억원) - (내역①바이오 데이터뱅크 구축·운영) 개인 중심으로 통합된 바이오 빅데이터 구축 및 동의·수집·보호·활용체계 마련 - (내역②사업단 운영) 사업 기획, 평가 및 성과관리 등 사업 운영 관리</t>
  </si>
  <si>
    <t>국가통합바이오빅데이터구축사업Ⅱ(R&amp;D)</t>
  </si>
  <si>
    <t>- (국가통합바이오빅데이터구축사업Ⅱ) 국가경쟁력을 책임질 바이오 분야 핵심 연구 자원 확보 및 질환 원인 규명·미래 의료기술 개발로 환자 편익 증대 등을 위해 국가 통합 바이오 빅데이터 구축사업에서 개인 동의 기반으로 수집한 인체유래물을 저장 관리할 수 있는 바이오뱅크 시설 구축 및 국가 통합 바이오 빅데이터 구축 사업에서 수집한 인체유래물을 안정적으로 관리하여 보건의료 R&amp;D 연구 지원 - (바이오 빅데이터 인체유래물 바이오뱅킹) 국가 통합 바이오 빅데이터 구축사업 추진에 따른 100만 명분 인체자원 저장 및 관리를 위한 저장시설 증축, 임시저장시설 운영 및 인체자원 관리</t>
  </si>
  <si>
    <t>헬스케어 이종데이터 활용체계 및 인공지능 개발(R&amp;D)</t>
  </si>
  <si>
    <t>- (목적) 디지털 기술 기반의 실사용 헬스케어 이종데이터* 활용을 위한 데이터 수집 및 분석체계 구축, 인공지능 개발 및 코호트 기반 멀티모달 인공지능 학습용 데이터 구축 * 전자의무기록 자료, 영상 자료, 디지털 기기 및 웨어러블 기기 데이터, 멀티오믹스 자료 등 - (내용) ⋅(헬스케어 연구데이터 인공지능 활용) 기존 개별 병원 중심의 단편적 데이터 수 집을 벗어나 실사용 데이터 기반, 디지털 기술을 접목한 질환별 포괄적인 헬스 케어 이종데이터 수집, 정제, 표준화 및 이를 기반으로 한 인공지능 연구 수행 ⋅(시험연구인력지원) R&amp;D 과제 수행 및 연구행정 지원을 위한 전문 연구인력(공 무직, 기간제, 박사 후 연구원) 인건비 지원 ⋅(인공지능 연구지원) 코호트 기반 수집·생산된 헬스케어 데이터의 활용 증대를 위해 인공지능 학습용 데이터 발굴·구축·공개 및 클라우드 기반 연구 플랫폼 구축·지원 2024 2025(2025.12월말) 2026 예산 예산액 (추경) 예산 현액 집행액 [실집행 액] 이월액불용액본예산 예산 현액 집행액 [실집 행액] 전년도 이월액 제외</t>
  </si>
  <si>
    <t>해양경찰청</t>
  </si>
  <si>
    <t>AI기반해상긴급상황접수및대응체계개발(R&amp;D)</t>
  </si>
  <si>
    <t>- (AI 기반 해상 긴급상황 접수 및 대응체계 개발(R&amp;D)) - 현재 해양경찰청 인력 중심의 무선통신 조난신호 청취업무를 ‘AI 기반 신고접수·대응 시스템’ 개발·구축으로, 접수자의 인적 오류를 해소하고 안정적 신고 접수·대응체계 마련을 통해 조난자의 골든타임 확보를 위함.</t>
  </si>
  <si>
    <t>AI기반해양재난대응체계CDX기술개발(R&amp;D)</t>
  </si>
  <si>
    <t>- (사 업 명) AI기반 해양재난 대응체계 CDX 기술개발 - (사업목적) 인공지능 현장 업무적용 확대를 위하여 해양재난 데이터를 AI 활용(학습·인식) 형태로 변환하는 디지털전환(DX) 체계 및 서비스 구현 · (AI기반 데이터체계·플랫폼 구축) 빅데이터플랫폼, 정보시스템55종및 각종 해양재난 현장 수집 데이터 등을 AI가 변환·활용·공유하는 플랫폼 개발 · (AI에이전트 서비스 개발) 재난상황과 현장인력의 직무역량 이해, 현장직원의 업무를 대신하는 생성형AI 기반 AI에이전트(개인비서) 16종(안전·수색·방제 등) 개발 2024 2025 2026 예산 예산액 (추경) 예산 현액 집행액 이월액 불용액 예산액 (추경) 예산 현액 집행액 이월액불용액 ○기능별 분류(합계) - - - - -</t>
  </si>
  <si>
    <t>차세대디지털VTS국제표준서비스및장비개발(R&amp;D)</t>
  </si>
  <si>
    <t>- (사업명) 차세대 디지털 VTS 국제표준 서비스 및 장비 개발 - (사업내용) 해양사고 예방 및 디지털 해상통신 시대에 대응하기 위해 자율운항선박 등 디지털 선박ㆍ장비와 VTS 센터* 간 문자, 그림 등의 디지털 데이터 교환 및 AI로 사고위험을 식별할 수 있는 차세대 디지털 VTS 국제표준ㆍ장비 등 개발 * VTS(Vessel Traffic Service) 센터: 선박교통 안전 및 해양 환경ㆍ시설 보호를 위해 선박에 안전ㆍ항만운영 정보를 제공하는 해양경찰관서 2024 2025 2026 예산 예산액 (추경) 예산 현액 집행액 이월액 불용액 예산액 (추경) 예산 현액 집행액 이월액불용액 ○기능별 분류(합계) - - - - - 1,200</t>
  </si>
  <si>
    <t>해양경찰정보화관리(정보화)</t>
  </si>
  <si>
    <t>- (해양경찰정보화관리(정보화)) 정보화를 통해 업무 효율성과 투명성을 제고하고 조직의 혁신과 경쟁력을 강화하기 위해 시스템 구축, 기반 인프라 고도화, 정보화 지원을 통해 디지털 기반의 업무환경 조성 - (시스템 구축) 일원화된 데이터 기반 생태계를 조성하고 디지털 혁신기술 인프라 확충으로 지식정보 중심의 디지털 해양경찰 구현 ･미래 환경변화 및 정책수요에 맞춰 해양 데이터를 수집･분석･공유･활용하기 위한 해양경찰 정보시스템 구축 ･정보시스템 고도화 사업을 공공 클라우드로 단계적 전환하여 운영예산 절감, 긴급 상황 대응 등 운영 효율화 도모 ･레저면허･수상구조사 자격시험 등 대국민 행정 수요에 대응한 모바일 행정 서비스 2024 2025 2026 예산 예산액 (추경) 예산 현액 집행액 이월액 불용액 예산액 (추경) 예산 현액 집행액 이월액불용액 ○기능별 분류(합계) 19,473 19,536</t>
  </si>
  <si>
    <t>해양안전시스템구축관리(정보화)</t>
  </si>
  <si>
    <t>- (해양안전시스템구축관리(정보화)) 미래 첨단 경비체제 도입 대비, 함정 내·외부의 다양한 데이터 수집·저장 및 분석하여 서비스에 활용 할 수 있도록 노후 함정 정보통신 기반 인프라 구축 및 서비스 개발을 통한 함정 운용 개선 ･해양재난 및 안전관리체계 고도화를 위한 미래형 해상 경비체계 도입 관련 경비 함정 디지털 기반체계 구축 ･해양에서의 다양한 감시·정보자산의 융합을 통한 과학적이고 효율적인 경비 활동 체계 기반 마련</t>
  </si>
  <si>
    <t>해양수산부</t>
  </si>
  <si>
    <t>AI 기반 스마트 어업관리 시스템 개발(R&amp;D)</t>
  </si>
  <si>
    <t>- (AI기반 스마트 어업관리 시스템 개발) 어획량, 불법어업 등을 분석하는 AI 옵서버 등 스마트 어업관리 시스템을 개발(1내역, ’21~’23)하고, AI를 활용하여 다양한 형태의 안전한 어선을 건조, 관리 할 수 있는 지능형 통합 플랫폼을 구축 및 보급하고자 함(2내역, ’22~’26) - (AI기반 어선안전 설계데이터 플랫폼 개발 및 실증) ①목적: 안전한 고효율 어선을 낮은 비용으로 건조 할 수 있도록 안전을 보장할 수 있는 어선의 요소별 표준모듈(선형, 추진기, 어로시스템 등)을개발하고, 인공지능 기술을 통해 모듈을 조합하여 다양한 형태로 설계 및 검증할 수 있는 어선안전 설계 데이터플랫폼 구축 및 보급 ②내용: 어선 모듈 개발 및 설계데이터 플랫폼 개발을 통한 활용기반 구축 등 ㆍ(모듈개발) 어선의 선체 및 상부구조물 등 구성요소에 대한 모듈 개발 ㆍ(설계플랫폼) 개발된 모듈을 조합하여 어업인 요구에 맟춰 다양한 형태의 안전한 고효율 어선을 설계할 수 있는 플랫폼 구축 ㆍ(검증 및 보급) 시제선 건조 및 개발하여 시제선 운영을 통한 성능검증, 경제성분석</t>
  </si>
  <si>
    <t>AI 완전자율운항선박 기술개발사업(R&amp;D)</t>
  </si>
  <si>
    <t>- (AI 완전자율운항선박 기술개발) 완전자율운항 기술 확보를 통한 IMO Lv.4 달성 및 글로벌 자율운항선박 시장·기술 선도 · 무인 항해 시스템, 기관 자동화 시스템, 원격운용 기술, 검인증 및 실증 기술 등 완전자율운항선박 핵심기술 개발 2024 2025(2025.12월말) 2026 예산액 (추경) 예산 현액 집행액 [실집 행액] 이월액불용액본예산 예산 현액 집행액 [실집 행액] 전년도 이월액 제외 이월 예상액 불용 예상액 예산 현액 집행액 [실집</t>
  </si>
  <si>
    <t>AI응용제품 신속상용화 지원사업(해수)</t>
  </si>
  <si>
    <t>- 정부 부처 합동으로 산학연 역량을 집결, 유망 AI 융합분야에서 1~2년 내 성과 도출이 가능한 제품·서비스 상용화 지원</t>
  </si>
  <si>
    <t>고품질준실시간해양그리드데이터서비스체계개발(R&amp;D)</t>
  </si>
  <si>
    <t>- (고품질 준실시간 해양그리드 데이터서비스 체계 개발) 선박-해양무인기 연계 3D 해양관측 기술 개발을 통한 국가 해양 선박관측의 현대화, 해양 관측자료 품질관리체계화/표준화, AI 기반 지능형 해양 수중 데이터 격자화를 통한 해양정보 활용 편의 증대 서비스 체계 구축</t>
  </si>
  <si>
    <t>국제사회 IUU어업 예방을 위한 원양어선전자모니터링기술개발(R&amp;D)</t>
  </si>
  <si>
    <t>ㅇ (국제사회 IUU어업 예방을 위한 원양어선 전자모니터링 기술개발사업) - 국제사회 IUU어업 근절 강화 기조 대비 원양어선에 대한 조업활동감시(기술) 강화와 한국형 EM 시스템 개발을 통한 상용화 및 국제표준 선도 사업명 2024년 결산 2025년 예산 2026년 증감 (B-A) 본예산(A) 추경 정부안 확정(B) (B-A)/A 국제사회 IUU어업 예방을 위한 원양어선 전자모니터링 기술개발(R&amp;D) - 3,000 3,000 5,400 5,400 2,400 80.0 2024 2025(2025.12월말) 2026</t>
  </si>
  <si>
    <t>극지연구소 운영지원(R&amp;D)</t>
  </si>
  <si>
    <t>- (극지연구소 운영지원) 극지인프라 구축‧운영과 이를 활용한 남‧북극에서의 기초 및 응용 과학연구 수행을 위한 극지연구소 운영비 지원 - (기관운영비) 기관 고유임무 수행을 위한 연구·지원인력 인건비 및 일반운영비, 시설 유지관리비 등 기관운영을 위한 경상운영비 지원 - (주요사업비) 극지 인프라 활용을 통한 극지에서의 기초․첨단응용과학 연구 수행, 3개 남·북극 과학기지·쇄빙연구선 아라온 등 극지 인프라의 안정적 운영 지원과 기관 고유임무 수행을 위한 연구·지원 수행</t>
  </si>
  <si>
    <t>남극해 급격한 온난화 대응 남극 해빙 예측 기술 개발(R&amp;D)</t>
  </si>
  <si>
    <t>머신러닝 기반 해저면 특성 분류 기술개발(R&amp;D)</t>
  </si>
  <si>
    <t>민군경 AI 기반 해양영상 융복합 분석기술 개발(R&amp;D)</t>
  </si>
  <si>
    <t>생태계기반수산정책지원기술개발(R&amp;D)</t>
  </si>
  <si>
    <t>- (목적) 지속가능한 수산자원 관리정책기술 체계 구축을 위한 핵심기술을 개발하여 기후변화, 남획 등 자연·인위적 변동요인에 대한 과학적 증거기반의 수산관리 정책 실현 - (목표) 우리나라 해역에 적합한 정확도 높은 수산자원 예측정보 생산 및 수산자원 관리정책 지원을 위한 도구 개발 2024 2025(2025.12월말) 2026 예산 예산액 (추경) 예산 현액 집행액 [실집 행액] 이월액불용액본예산 예산 현액 집행액 [실집 행액] 전년도 이월액 제외 이월 예상액 불용 예상액 예산 현액 집행액</t>
  </si>
  <si>
    <t>선박해양플랜트연구소 운영지원(R&amp;D)</t>
  </si>
  <si>
    <t>- (선박해양플랜트연구소 운영지원) 선박해양플랜트 분야 원천기술개발, 응용 및 실용화 연구 등 종합 연구역량 수월성 확보를 통하여 국가현안을 해결하고 국제 표준 선도 · (기관운영비) 연구인력‧지원인력 인건비, 기관운영에 소요되는 경상비 등 기관 R&amp;R 달성을 위한 기관운영 지원 · (기본사업비) 첨단선박 핵심 원천기술, 미래 해양플랜트 핵심기술, 해양 디지털 및 안전환경 기술, 선박해양기술 성과확산 등 연구소 R&amp;R에 부합하는 연구분야 전문성 확보를 위한 연구 수행</t>
  </si>
  <si>
    <t>수출입물류항만-내륙연계기술개발(R&amp;D)</t>
  </si>
  <si>
    <t>- (수출입 자율주행차량 자동하역 지원시스템) 수출입 자동차화물관리의 효율성 증대와 자율주행차량 등장 시 하역작업 대응이 가능하도록 노후된 항만인프라(SOC) 개선을 위한 지능화 기술과 하역관리 플랫폼 개발 - (항만물류체인 디지털 인프라기반 기술 개발) 해상-항만-육상물류를 인공지능 기술로 연계해 수출입 물류를 최적화하고, 항만 생산성을 향상시키기 위한 항만물류체인 디지털 인프라 기반 기술 개발 - (빅데이터/인공지능기반물류 연계 최적화 기술 개발) 항만물류체인 디지털 인프라기 반 기술 개발에서 구축된 해운항만물류 디지털 인프라를 활용해서 인공지능 알고리 즘을 통해 예측 및 최적화하여 해상-항만-육상 물류 최적화 서비스 기술 개발 - (해상-항만-육상 물류  최적화 서비스 기술개발) 항만물류체인 디지털 인프라 기반 기술 개발에서 구축된 데이터베이스와 빅데이터/인공지능 기반 물류연계 최적화 기술 개발에서 생성된 예측정보 연계를 통해 정보 공유와 인공지능 알고리즘을 활용한 연계 최적화 서비스 제공</t>
  </si>
  <si>
    <t>순환적응형연안침식관리기술개발(R&amp;D)</t>
  </si>
  <si>
    <t>스마트수산업 응용기술 국산화 및 실증연구(R&amp;D)</t>
  </si>
  <si>
    <t>- (스마트수산업 응용기술 국산화 및 실증연구) 양식방법별(해상가두리, 육상수조) 스마트 양식 요소기술의 국산화/고도화 기술 개발과 현장 적용 실증을 통해 수산업의 지속 가능성 확보 및 첨단산업화 추진 - (지능형 양식시스템 고도화 기술개발) - 먹이활성도 연동 지능형 사료공급 기술, 수중 카메라 기반 행동 분석 알고리즘, 양식장 운영 소프트웨어 국산화 - 동 사업은 사료 공급 패턴 제어 및 먹이활성도 연동 지능형 사료 공급 기술, 수중 카메라 기반 성장 측정 및 유영행동 분석 알고리즘 개발, 실시간 조류, 수온 등 센서 통합 및 경보시스템 개발, 사육생물/양식환경 통합 제어 기술개발, 양식장 운영 소프트웨어 국산화 개발, 양식기자재 모듈형 기술개발, 경제성 분석 수행 - (지능형 양식시스템 현장적용 연구) - 해상가두리 및 육상수조 지능형 양식시스템 테스트베드 구축 및 고도화, 보급형 모델 적용성 평가 - 동 사업은 해상가두리 테스트베드 5개소 구축·운영, 육상수조 테스트베드 3개소 구축· 운영, 고도화 기술 현장적용 및 성능 실증, 시스템 통합 시험 및 보급형 모델 적용가능성 평가, 표준화 설계도 및 기자재 대량생산 시스템 개발 수행 2024 2025(2025.12월말) 2026 예산액 (추경) 예산 현액 집행액 [실집 행액] 이월액불용액본예산 예산 현액 집행액</t>
  </si>
  <si>
    <t>아열대 해양환경 적응 시나리오 개발 대응책 및 활용 체계 구축(R&amp;D)</t>
  </si>
  <si>
    <t>- 기후변화에 따른 해양환경-생태계 변동에 대응하기 위한 기존 자료 표준화 및 활용을 위한 데이터 수집·분석기술 개발, 아열대 해양환경 적응 시나리오 모형 개발·검증, 아열대 생물 종 관리 대응 매뉴얼·적응 대책 수립과 해양생태-환경 자료 활용 체계 구축 2024 2025(2025.12월말) 2026 예산 예산액 (추경) 예산 현액 집행액 [실집 행액] 이월액불용액본예산 예산 현액 집행액 [실집 행액] 전년도 이월액 제외 이월 예상액 불용 예상액 예산 현액 집행액 [실집</t>
  </si>
  <si>
    <t>양식생물 생물보안체계 구축을 위한 기술개발(R&amp;D)</t>
  </si>
  <si>
    <t>◦(양식생물 생물보안체계 구축을 위한 기술 개발) 양식산업 경쟁력 강화를 위한 차세대 수산 질병 안전관리 체계 구축 및 생물보안 기반 질병예방 기술개발 - (양식생물 주요질병 신속·다중 진단고도화 기술개발) 수산 주요질병의 진단법 고도 화를 통한 수산생물질병 조기·신속진단 시스템 구축 2024 2025(2025.12월말) 2026 예산 예산액 (추경) 예산 현액 집행액 [실집 행액] 이월액불용액본예산 예산 현액 집행액 [실집 행액] 전년도 이월액 제외 이월 예상액 불용 예상액 예산 현액 집행액</t>
  </si>
  <si>
    <t>유수식 디지털양식 혁신기술개발(R&amp;D)</t>
  </si>
  <si>
    <t>자율주행차 해상수출입서비스 기술개발(R&amp;D)</t>
  </si>
  <si>
    <t>- (자율주행차 해상 수출입 서비스 기술개발) 수출입 자율주행차량 자동하역지원시스템의 요소기술을 현장에 통합 적용하고 검증함으로써 자율주행차 해상 수출입 서비스 플랫폼 글로벌 시장을 선점하기 위한 실용화 기술개발 2024 2025(2025.12월말) 2026 예산 예산액 (추경) 예산 현액 집행액 [실집 행액] 이월액불용액본예산 예산 현액 집행액 [실집 행액] 전년도 이월액 제외 이월 예상액 불용 예상액 예산 현액 집행액 [실집</t>
  </si>
  <si>
    <t>지능형 빅데이터 분석기반 해양환경누적영향평가 및 의사결정 지원기술개발사업(R&amp;D)</t>
  </si>
  <si>
    <t>탄소제로 수중데이터센터 표준모델 개발(R&amp;D)</t>
  </si>
  <si>
    <t>- (탄소제로 수중데이터센터 표준모델 개발) AI개발 핵심인 데이터센터 확충 및 데 이터센터 시장 선도를 위하여, 육상대비 30%의 소비전력 절감이 가능한 수중데 이터의 표준모델 개발 2024 2025(2025.12월말) 2026 예산 예산액 (추경) 예산 현액 집행액 [실집 행액] 이월액불용액본예산 예산 현액 집행액 [실집 행액] 전년도 이월액 제외 이월 예상액 불용 예상액 예산 현액 집행액 [실집</t>
  </si>
  <si>
    <t>한국해양과학기술원운영지원(R&amp;D)</t>
  </si>
  <si>
    <t>- (한국해양과학기술원 운영지원(R&amp;D)) 국내 유일의 종합해양연구기관으로서 해양과학 기술의 연구개발을 통한 관할해역의 과학적 관리기반 구축, 해양자원의 개발·이용 및 해양환경 보전과 해양안전 확보 능력을 축적하고 그 성과를 보급하기 위한 안정적 기관 운영 추구 - (기관운영비) 동 사업은 기관 고유임무 수행을 위한 연구·지원인력 인건비와 일반 운영비, 시설유지관리비 등 기관운영에 소요되는 경상경비를 지원 - (기본사업비) 동 사업은 기관고유 역할과 책임(R&amp;R) 수행에 필수적인 해양과기원 5대 전략목표의 안정적 수행을 위한 해양기후·환경변화 대응, 해양전략자원 개발, 첨단해양공학기술 창출, 해양영토관리, 해양정책 분야의 연구사업 수행과 글로벌 해양과학기술의 주도권 선점을 위한 사업 추진, 해양관련 국가 현안문제 해결 지원, 연구인프라의 안정적인 운영을 지원하며, 국민이 체감할 수 있는 성과 창출을 위해 원천기술 연구(R&amp;D)에서 나아가 솔루션 제공형 연구개발(R&amp;SD) 패러다임 도입에 필요한 기관전략 연구사업 수행 지원 · (해양기후변화 진단·예측 역량 및 해양환경·생태계 변화 대응 기반 강화) 기후변화와 해양환경 위기에 따른 한반도 주변 변화 선제적 대응 및 해양 생태계 변동성 예측 역량 강화 · (해양바이오·전략광물자원 개발 및 미개척 대양 신자원 탐사) 해양생명자원 탐색을 통한 유용소재 발굴과 의약, 식품산업 원천소재 개발 및 인도양 중앙해령 열수분출구 /태평양 해저산 생물자원 확보 · (해양공학 핵심기술 및 첨단장비 개발) 일자리 창출, 기후변화 대응 및 신성장 동력 개발을 위한 해양에너지 및 항만해양구조물 분야 신산업 창출 · (해양력 향상 및 해양 재난·재해 대응기술 개발) 해양상황 인식기술 개발 및 해양 재난·재해 기술 개발을 통한 해양영토 관리 및 해양안전에 기여 · (해양분야 법·정책 대응력 강화) 해양수산부문 기후변화 관련 국제규범 연구, 국제 규범의 국내이행 및 적용방안 모색, 지역주도형 정책·전략 수립 · (연구인프라 운영사업) 연구조사선(이사부호, 온누리호 등), 국내 및 해외 연구거점, 국제네트워크 인프라 등 종합적 연구기반 인프라 운영 · (미래선도사업) 창의적·도전적·융복합 연구과제 기획·육성 및 국가·사회적 문제해결형 해양과학기술 수요 발굴 및 예측 · (장비·시스템구축비) 국내 유일의 해양 분야 종합연구기관으로서 국책연구사업 수행</t>
  </si>
  <si>
    <t>한국형 연안재해 발생요인 예측기술 개발(R&amp;D)</t>
  </si>
  <si>
    <t>- (한국형 연안재해 발생요인 예측기술 개발) - 연안재해 발생 요인 예측시스템 구축으로 연안 복합·대규모 재해 사전 대비·대응 능력 확보 - (한국형 연안재해 발생요인 예측기술 개발) - 통합해양예측 시스템 및 연안재해 요인별 예측 체계 개발(대분류 4개, 소분류 8개, 예측정확도 평균 82%), 초고성능 컴퓨팅 인프라(국립해양조사원 내 구축) 기반 예측 시스템 현업화 * 대분류: 해수물성기인, 파랑기인, 태풍기인, 침수범람 연안재해 소분류: 고수온, 저수온, 저염수, 월파, 이상고파, 고파랑, 폭풍해일, 침수범람 2024 2025(2025.12월말) 2026 예산 예산액 (추경) 예산 현액 집행액 [실집 행액] 이월액불용액본예산 예산 현액 집행액 [실집 행액] 전년도 이월액 제외 이월 예상액 불용 예상액</t>
  </si>
  <si>
    <t>해양공간 디지털트윈 적용 및 활용 기술개발(R&amp;D)</t>
  </si>
  <si>
    <t>해양배터리 특화 데이터 허브 플랫폼 구축 기술 개발(R&amp;D)</t>
  </si>
  <si>
    <t>- (목적) 해양배터리 실운용 데이터 기반 메타데이터 허브 구축 및 국제표준 대응 데이터 관리·분석을 위한 해양배터리 특화 데이터 허브 플랫폼 구축 기술 개발 * 해양환경 특화 해양배터리 데이터 수집·진단 장치·데이터 관리·분석 시스템 각 1식 구축 * 해양배터리 운용·환경·상태 데이터 기반 분석용 데이터 항목 체계 및 시나리오 기반 분석 모델 1식 이상 도출 * 전주기 관점의 해양배터리 메타데이터 허브 시스템 1식 구축 * IALA, ISO/IEC, IMO연계 국제표준 제안 1건 이상, 국내표준(안)/가이드라인 1건 이상 2024 2025(2025.12월) 2026 예산 예산액 (추경) 예산 현액 집행액 [실집 행액] 이월액불용액본예산 예산 현액 집행액 [실집 행액] 전년도 이월액 제외 이월 예상액 불용 예상액</t>
  </si>
  <si>
    <t>해양수산 신산업 육성 및 기업투자유치 지원(지원)</t>
  </si>
  <si>
    <t>- (타깃기업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 (해양신산업 인큐베이팅 지원) 해양수산 유망 신산업 육성을 위해 해양신산업 분야 예비창업자 및 초기 창업 기업에 성장단계별 맞춤형 창업 프로그램 지원(교육, 장비 활용 지원 등) - (민간투자기반 유망기업 사업화 지원) 해양수산 유망기업 개발제품 고도화 및 수출 지원으로 신산업을 육성하기 위해 시제품 제작, 실증, 해외인증, 홍보 등 지원 - (국내 해양플랜트 서비스산업 촉진) 해외진출 기반 마련, 산업 정보 제공, 초기 기술개발 비용 경감 및 사업역량 강화를 위해 해양플랜트 서비스 관련 기업 지원 - (심층수 수질검사)「해양심층수의 개발 및 관리에 관한 법률」제37조제3항에 따라 해양심층수 취수 지정 해역에 대한 수질검사 및 방사능 검사 실시 - (해양·항만 AX 실증센터) ’25년말 준공 예정인 해양과학기술 산학연 협력센터 (STEM 빌리지)에 온프레미스 기반 해양 AI 데이터센터 및 실증센터 구축 - (해양바이오 소재 대량생산 플랜트 건립) 해양바이오 소재(미세조류) 대량생산을 위한 플랜트 건립 - (해조류 바이오 스마트팩토리 구축) 고기능성 해조류 바이오 원료 육상 생산·가공시 설 구축</t>
  </si>
  <si>
    <t>해양수산 융합형 전문인력양성사업(R&amp;D)</t>
  </si>
  <si>
    <t>- (해양수산 융합형 전문인력양성사업) 해양수산업의 산업 경쟁력 강화를 위해 지역 기반 연구 및 현장 중심의 기술개발을 촉진하고, 신진연구자* 및 융복합연구자** 중심의 전문인력 양성 추진 * 신진연구자: 해양･수산분야의10년이내교수임용연구자 ** 융복합연구자: 대학중심의연구자및현장･지역･연구연계중심의지역수요자 2024 2025(2025.12월말) 2026 예산 예산액 (추경) 예산 현액 집행액 [실집 행액] 이월액불용액본예산 예산 현액 집행액 [실집 행액] 전년도 이월액 제외 이월 예상액 불용 예상액 예산 현액</t>
  </si>
  <si>
    <t>해양자원 탐사를 위한 무인체계 기술개발(R&amp;D)</t>
  </si>
  <si>
    <t>(해양자원탐사를 위한 무인체계 기술개발) - (목적) 국가전략금속의 장기·안정적 확보를 위한 해저자원 고신뢰 자원량 산출 및 환경영향평가에 필요한 무인탐사체계 개발 2024 2025(2025.12월말) 2026 예산 예산액 (추경) 예산 현액 집행액 [실집 행액] 이월액불용액본예산 예산 현액 집행액 [실집 행액] 전년도 이월액 제외 이월 예상액 불용 예상액 예산 현액 집행액 [실집</t>
  </si>
  <si>
    <t>행정안전부</t>
  </si>
  <si>
    <t>공공데이터개방및이용활성화지원(정보화)</t>
  </si>
  <si>
    <t>공공부문 AI 서비스 지원(정보화)</t>
  </si>
  <si>
    <t>ㆍ(목적) 보안성이 갖춰진 ‘범정부 AI 공통기반’을 토대로 부처·지자체 공통 업무를 AI 서비스로 효율화ㆍ공통 모델화하여 대국민 서비스 개선 - (부처 효율화 AI 지원사업) 각 부처가 중복투자 없이 공통업무에 신속하게 AI를도 입ㆍ활용할 수 있도록 서비스 구축 지원 - (지자체 공통서비스 AI 표준화 지원) 지자체 공통적으로 주민들의 수요가 높은 서비스를 조사, 공통 모델화하여 지역간 AI 격차가 해소되도록 전국에 보급, 확산 추진 - (공공 AI 사업지원센터) 부처ㆍ지자체의 경우 AX 전문인력과 경험 부족으로 효율적 인 사업 추진을 위한 컨설팅 필요 →‘공공 AI 사업지원센터’ 설치ㆍ운영으로 지원 ※ (국정과제 24번) AI 3대 강국 도약을 위한 국정과제 ‘세계 1위 AI 정부 실현’을 위한 ‘30대핵심과제’ 선정ㆍ추진 및 AI 사업 성공을 위해 ‘공공 AI 사업지원센터’ 설치ㆍ운영</t>
  </si>
  <si>
    <t>과학수사감정지원</t>
  </si>
  <si>
    <t>□세부사업 - (과학수사감정지원) 동 사업은 국가기관 또는 지방자치단체의 요청에 응하여 범죄수사 및 사건·사고에 필요한 해석 및 감정 업무를 수행하기 위한 것으로, 법의학·법과학·법공학분야 등에 대한 과학적 조사·연구·분석·감정 및 교육훈련에 관한 사항을 지원하는 것임</t>
  </si>
  <si>
    <t>데이터기반행정활성화(정보화)</t>
  </si>
  <si>
    <t>- (공공빅데이터 분석·활용) § 부처 간 협력이 필요한 과제 및 정책활용도가 높은 현장의 수요과제, 국민이 실질적으로 체감할 수 있는 범정부 분석과제 등을 적극 발굴‧추진하여 전문·심층 분석 수행 (데이터기반행정법 제20조) § 활용성 높은 다양한 데이터 분석 모델 발굴·표준화, 온라인 자동 분석 모델 지원 으로 편의성 및 활성화 제고 - (범정부 데이터플랫폼 구축·운영) § 기관 간 칸막이를 넘어 기관이 보유한 데이터가 막힘없이 흐를 수 있도록 ‘범정부 데이터 파이프라인’ 구축 및 데이터 공유 확산 § 행정·공공기관의 특성에 맞는 AI기반 분석환경 제공 및 분석플랫폼 이용 활성화를 위한 클라우드 기반 ‘범정부 데이터 분석시스템’ 고도화 및 운영 추진 - (데이터기반행정 역량 지원) § AI·데이터 중심으로 대상별·수준별 교육과정을 개발하여 교육 컨텐츠를 범정부 공유하여 행정·공공기관 직원 AI리터러시 역량을 제고하고, 공공행정 전반에 AI‧ 데이터 전환을 주도하는 문제해결역량을 갖춘 내부 실무인재 육성 추진 2024 2025 2026 예산 예산액 (추경) 예산 현액 집행액 이월액 불용액 본예산 예산 현액 집행액이월액불용액</t>
  </si>
  <si>
    <t>드론·SAR및디지털트윈연계급경사지위험성분석기술개발(R&amp;D)</t>
  </si>
  <si>
    <t>- (지반변위고려급경사지재해위험성분석기술개발) 호우예보 시 지자체에서급경사지붕괴 위험을 예측하여 주민대피 등 재난관리에 활용하기 위해 디지털트윈기반의 다양한 분석 기능(Open API) 및 급경사지 붕괴 위험성 판단기준 개발 - (급경사지안전관리를위한드론SAR모니터링시스템개발) 급경사지 붕괴 징후를주기적 으로 관찰하여 재해를 예방하기 위해 기존 방식(육안조사, 위성·SAR 등)의 문제점을보완 하여 실용성을 개선한 다채널 드론·SAR 영상기술 개발 * SAR(Synthetic Aperture Radar) : 공중에서지표면으로레이다를발사하고레이다가지표면에 반사되어돌아오는시간차를처리하여지형도를만드는시스템 2024 2025 2026 예산 예산액 (추경) 예산 현액 집행액 이월액불용액 본예산 (추경) 예산 현액 집행액 이월액불용액 ○기능별 분류(합계) - - - - -</t>
  </si>
  <si>
    <t>재난및안전관리연구개발(R&amp;D)</t>
  </si>
  <si>
    <t>- (재난 및 안전관리 연구개발사업(R&amp;D) ‘재난안전 현안문제 해결과 미래 대응을 위한 3대 전략분야(자연재난, 사회재난, 안전사고) 현장활용 핵심기술 확보’를 목표로 행정안전부 고유임무 중심의연구개발 추진 - (내역1: 자연재난 R&amp;D) 기후변화로 인한 재난 피해 최소화를 위한 사전대비 현장 대응 기술개발을 목표로 피해예측, 위험감지, 예경보, 현장대응 4개의 중점분야에 대한 연구개발 추진 - (내역2: 사회재난 R&amp;D) 세월호, 이태원 참사 등 다양한 사회재난에 대응할 수 있는 현안문제 해결을 위한 기술개발을 목표로 인파관리, 선박사고, 대형화재, 대형붕괴 4개의 중점분야에 대한 연구개발 추진 2024 2025 2026 예산 예산액 (추경) 예산 현액 집행액 이월액불용액 본예산 예산 현액 집행액 이월액불용액 ○기능별 분류(합계) 32,940 32,940 32,940 - -</t>
  </si>
  <si>
    <t>재난안전 AI 관제체계 및 데이터 구축(정보화)</t>
  </si>
  <si>
    <t>&lt;재난안전 AI 관제체계 및 데이터 구축&gt; - (AI 기반 지자체 CCTV 관제지원시스템 구축) 지자체 CCTV 실영상 기반 인공지능 영상분석 학습데이터 플랫폼 및 지자체 학습용 영상전송 인프라 구축·관리 체계 마련 - (재난안전 인공지능 영상분석 기술 실증) 민간영역에서 개발이 어려운 재난분야 학습 데이터 구축 및 재난식별 알고리즘을 개발·고도화 및 실증 - (재난안전 AI 데이터 체계적 제공) 과학적 재난관리를 위해 흩어진 데이터를 통합하고, 표준화된 데이터 관리체계를 마련하여 대규모의 고품질 AI 학습데이터 구축</t>
  </si>
  <si>
    <t>재난안전부처협력기술개발(R&amp;D)</t>
  </si>
  <si>
    <t>ㅇ 과학기술의 발전, 재난환경의 복잡·다양화 등 여건변화에 대응하여 개별 부처별 R&amp;D 수행 으로 인한 한계를 극복하기 위해 부처 간 협업에 기반한 재난안전 R&amp;D 강화 - (부처협력 사업지원) 행정안전부는 재난안전 R&amp;D 총괄부처로서, 기존 개발기술의 종합·융합 및 실증하는 역할 수행 필요. 재난안전 분야는 정부 중심의 공공서비스이므로 사업화 연계가 미약할 수 있으나 긴급 현안사항에 대응할 수 있는 실용화 기술 개발 필요 - (소방현장 탐색·진압 활동지원 센서 및 로봇기술개발) 육상 대형시설물/사업장의 소방관 화재 진압활동 및 인명탐색 작업을 지원하는 센서 및 로봇 시스템 개발 등 소방관 안전사고 예방 및 복합화재 진압 능력 향상을 위한 기술개발 지원 - (난접근성 특수화재·산불 진화를 위한 고기능성 소화탄 및 무인 능동진압 기술개발) 고층 건물, 혹은 원격지 대형화재를 효율적으로 진압할 수 있는 가스하이드레이트 소화탄과 능동진압 플랫폼 기술개발 지원 - (가상융합기술 기반 재난대응 교육훈련 플랫폼 개발) 재난상황 체험 및 대응을 위한 모듈형 실감 콘텐츠 개발 등 메타버스 기반 초실감형 해양경찰‧재난안전 교육훈련시스템 구축을 통하여 현장 즉시 대응력 강화할 수 있는 기술개발 지원 - (국민생활안전 긴급대응연구(2단계)) 국민생활안전 긴급대응연구(R&amp;D)의 긴급대응 체계를 고 도화하고, 성과확산 기능을 강화하여 국민의 불안해소에 기여하며 현장성과를 창출하는 국민 생활안전 긴급대응연구 후속사업 - (범부처 감염병 방역체계 고도화 R&amp;D사업) 신변종 감염병 대유행 대비 관점에서 방역 전주기 단계별 방역현장의 수요를 기반으로 ➊빠른 감시, ➋지능적 예측·차단, ➌신속 진단, ➍효능이 입증된방역물품 개발·검증 기반 고도화를 위하여 범부처 협력 R&amp;D 추진 - (초고층 복합시설 복합재난관리 디지털플랫폼 기술개발) 동 사업 내용은 지상ㆍ지하 공간이 상호 연계된 도심지 복합공간에서의 복합재난 발생을억제하고피해를 줄이기 위해 초고층 복합시설 복합재난 회복력 강화를 위한 예측ㆍ예방중심의 초고층 복합시설 복합 재난관리 디지털플랫폼 개발을 지원하는 것임</t>
  </si>
  <si>
    <t>전자문서소통시스템(정보화)</t>
  </si>
  <si>
    <t>- (온나라 문서시스템 운영) · 행안부가 개발하여 중앙부처·자치단체 등이 사용 중인 시스템으로 행정업무에 대한 문서작성·결재·의사결정과정 등 문서 처리의 모든 과정을 전자적으로 기록·관리 · 온나라용 표준OS 기술지원 종료(‘24.6.30.)로 보안사고 및 대규모 장애 위험성 상존, 안정성이 검증된 대채OS 적용을 위한 표준 온나라 응용SW 재개발 · 온나라 문서시스템, 전자문서유통 및 문서24 시스템 위탁사업 인건비 및 일반관리비 - (클라우드 온나라 문서시스템 운영) · 300여개 기관이 사용 중인 업무관리 시스템으로 클라우드 기반으로 부처를 통합하여 부처 간 메모보고 등 공유·협업 기반의 업무환경 제공 2024 2025 2026 예산 예산액 (추경) 예산 현액 집행액이월액불용액 예산액 (추경) 예산 현액 집행액 이월액불용액 ○기능별 분류(합계) 6,290 7,407 7,407 - -</t>
  </si>
  <si>
    <t>정보보호인프라확충(정보화)</t>
  </si>
  <si>
    <t>- (사이버침해대응지원센터 운영 및 유지관리) 사이버공격 탐지‧대응, 침해사고 분석‧조치, 인프라 지원 등을 통해 전자정부 정보보호 체계 강화 실현 ⦁랜섬웨어, 가상화폐 채굴 악성코드 등 날로 지능화, 고도화고 지속적으로 증가하는 사이버위협 대응을 위해 인공지능·빅데이터 등 지능정보기술 기반의 기능 고도화, 보안관제 운영장비에 대한 유지관리 등 ⦁ 운영인력 및 유지보수 비용 현실화, 지자체 간 연계구간 사이버위협 탐지 강화 등 - (행정전자서명인증 등 운영) 행정전자서명 인증체계의 효율적 운영, 진본성 보장 등 전자문서 보안 강화로 전자정부 서비스 안전성 및 신뢰성 강화 ⦁ 행정전자서명 발급 및 이용 안전성 확보, 전자문서의 진본성 검증, 내부행정서비스 복합 인증 등 시스템 운영 및 유지관리, 주민등록등본 등 대국민 전자서류의 안정적 타임스태프 발급을 위한 스토리지 용랑 증설 등 - (정부 통합인증 공통기반 운영 및 유지관리) 본인이 원하는 공공, 민간의 다양한 인 증수단으로 공공웹사이트를 쉽고, 안전하게 로그인하는 통합인증 체계 확산으로 대 국민 디지털정부 서비스 편의성 제고 ◇ (전자정부법 시행령) 제12조제4항 “전자정부서비스이용자등의 신원을 확인하는 데 공 통적으로 적용되는 운영기반을 구축ㆍ운영” ◇ (행정기관 및 공공기관 정보시스템 구축 운영지침, 행안부고시) 제14조의3(사용자 확인) ② 행정 기관등의 장은 법 제10조에 따라 전자정부서비스 이용자를 확인하는 경우 특별한 사유가 없 는 한 통합인증 공통기반을 활용한 방법이 포함되도록 하여야 한다. ⦁ 국민 본인이 원하는 다양한 인증수단(모바일신분증, 간편인증, 민간ID 등)으로 모든 공공 웹사이트를 1회의 인증만으로 이용할 수 있는 통합인증 방식 확산 추진 ⦁ 모든 공공서비스를 한 곳에서 열람·처리할 수 있는 범정부 서비스 통합창구(정부24 고도화)에 단일 로그인 체계인 Any-ID 적용 및 홈택스, 고용24 등과 통합인증 (SSO) 연계 서비스 제공 - (주요정보통신기반시설 보호) 사이버 침해사고 발생시 경제적 손실, 사회적 혼란 등 국민 생활 및 안전에 영향력이 큰 행정안전부 소관 주요정보통신기반시설에 대한 안정적인 보안관리 체계 운용 도모 ⦁ 행안부 소관 92개 주요기반시설 보호대책 및 행안부 소관 주요기반시설에 대한종합 보호계획 수립 검토 및 지원, 보호대책 추진과제 실적 등 이행점검, 지자체 ISAC(정보공유·분석센터) 운영,해킹메일·DDoS 사이버 위기대응 실전훈련공통기반 운영 및 대응훈련, 업무 담당자</t>
  </si>
  <si>
    <t>행정서비스통합포털운영(정보화)</t>
  </si>
  <si>
    <t>- (행정서비스통합포털운영) 선제적·통합적 공공서비스 제공을 위해 국민이 한 곳에서 필요한 서비스를 찾을 수 있도록 통합포털 운영 및 고도화 - (행정서비스통합플랫폼 구축) 국민이 각종 공공서비스를 한 곳에서(국정14) AI를 활 용해(국정24) 이용할 수 있도록 범정부 서비스 통합창구 구축 ※ BPR/ISP(‘23년) 결과에 따라, 단계별 서비스 연계기관 확대, 단순링크 감축, 통합검색등 시스템 고도화 추진(‘24년 ~ ‘26년) - (통합포털 유지보수 및 운영) 정부24 응용프로그램 및 상용SW 유지관리, 서비스·콘 텐츠현행화 및 이용자 의견 등을 반영한 서비스 개선 - (대국민 행정서비스 확산) 정부24 안내·상담 헬프데스크(콜센터) 및 교육과정 운영 - (행정서비스통합 운영지원) 정부24 운영 관련 공공요금 납부, 행정서비스통합추진단 운영 - (AI 통합민원플랫폼 구축) 분절되어 관리·제공되는 공공서비스를 한곳에 모아 AI 기반의통 합적·선제적 서비스를 제공할 수 있도록 AI 통합민원플랫폼 프로토타입 구축 및 ISP 추진 ※ (국정14)국민과함께소통하고혁신하는정부:선제적·통합적공공서비스제공 (국정24)세계최고AI 민주정부실현:AI 정부대전환을위한30대과제추진</t>
  </si>
  <si>
    <t>노동위원회정보화운영(정보화)</t>
    <phoneticPr fontId="18" type="noConversion"/>
  </si>
  <si>
    <t>budget_2026_req</t>
    <phoneticPr fontId="18" type="noConversion"/>
  </si>
  <si>
    <t>budget_2026</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</si>
</sst>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8"/>
      <color theme="1"/>
      <name val="맑은 고딕"/>
      <family val="2"/>
      <charset val="129"/>
      <scheme val="minor"/>
    </font>
    <font>
      <sz val="18"/>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8"/>
      <color rgb="FF006100"/>
      <name val="맑은 고딕"/>
      <family val="2"/>
      <charset val="129"/>
      <scheme val="minor"/>
    </font>
    <font>
      <sz val="18"/>
      <color rgb="FF9C0006"/>
      <name val="맑은 고딕"/>
      <family val="2"/>
      <charset val="129"/>
      <scheme val="minor"/>
    </font>
    <font>
      <sz val="18"/>
      <color rgb="FF9C5700"/>
      <name val="맑은 고딕"/>
      <family val="2"/>
      <charset val="129"/>
      <scheme val="minor"/>
    </font>
    <font>
      <sz val="18"/>
      <color rgb="FF3F3F76"/>
      <name val="맑은 고딕"/>
      <family val="2"/>
      <charset val="129"/>
      <scheme val="minor"/>
    </font>
    <font>
      <b/>
      <sz val="18"/>
      <color rgb="FF3F3F3F"/>
      <name val="맑은 고딕"/>
      <family val="2"/>
      <charset val="129"/>
      <scheme val="minor"/>
    </font>
    <font>
      <b/>
      <sz val="18"/>
      <color rgb="FFFA7D00"/>
      <name val="맑은 고딕"/>
      <family val="2"/>
      <charset val="129"/>
      <scheme val="minor"/>
    </font>
    <font>
      <sz val="18"/>
      <color rgb="FFFA7D00"/>
      <name val="맑은 고딕"/>
      <family val="2"/>
      <charset val="129"/>
      <scheme val="minor"/>
    </font>
    <font>
      <b/>
      <sz val="18"/>
      <color theme="0"/>
      <name val="맑은 고딕"/>
      <family val="2"/>
      <charset val="129"/>
      <scheme val="minor"/>
    </font>
    <font>
      <sz val="18"/>
      <color rgb="FFFF0000"/>
      <name val="맑은 고딕"/>
      <family val="2"/>
      <charset val="129"/>
      <scheme val="minor"/>
    </font>
    <font>
      <i/>
      <sz val="18"/>
      <color rgb="FF7F7F7F"/>
      <name val="맑은 고딕"/>
      <family val="2"/>
      <charset val="129"/>
      <scheme val="minor"/>
    </font>
    <font>
      <b/>
      <sz val="18"/>
      <color theme="1"/>
      <name val="맑은 고딕"/>
      <family val="2"/>
      <charset val="129"/>
      <scheme val="minor"/>
    </font>
    <font>
      <sz val="18"/>
      <color theme="0"/>
      <name val="맑은 고딕"/>
      <family val="2"/>
      <charset val="129"/>
      <scheme val="minor"/>
    </font>
    <font>
      <sz val="9"/>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0" borderId="0" xfId="0"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90C1-7EB6-964F-B437-A66D49E0A6E3}">
  <dimension ref="A1:N534"/>
  <sheetViews>
    <sheetView tabSelected="1" topLeftCell="A16" workbookViewId="0">
      <selection activeCell="K46" sqref="K46"/>
    </sheetView>
  </sheetViews>
  <sheetFormatPr baseColWidth="10" defaultRowHeight="27"/>
  <cols>
    <col min="3" max="3" width="33.296875" customWidth="1"/>
    <col min="9" max="9" width="18.5" customWidth="1"/>
    <col min="10" max="10" width="12.69921875" customWidth="1"/>
  </cols>
  <sheetData>
    <row r="1" spans="1:14">
      <c r="A1" t="s">
        <v>0</v>
      </c>
      <c r="B1" t="s">
        <v>1</v>
      </c>
      <c r="C1" t="s">
        <v>2</v>
      </c>
      <c r="D1" t="s">
        <v>3</v>
      </c>
      <c r="E1" t="s">
        <v>4</v>
      </c>
      <c r="F1" t="s">
        <v>5</v>
      </c>
      <c r="G1" t="s">
        <v>6</v>
      </c>
      <c r="H1" t="s">
        <v>7</v>
      </c>
      <c r="I1" t="s">
        <v>972</v>
      </c>
      <c r="J1" t="s">
        <v>973</v>
      </c>
      <c r="K1" t="s">
        <v>8</v>
      </c>
      <c r="L1" t="s">
        <v>9</v>
      </c>
      <c r="M1" t="s">
        <v>10</v>
      </c>
      <c r="N1" t="s">
        <v>11</v>
      </c>
    </row>
    <row r="2" spans="1:14">
      <c r="A2" t="s">
        <v>12</v>
      </c>
      <c r="B2">
        <v>1</v>
      </c>
      <c r="C2" t="s">
        <v>13</v>
      </c>
      <c r="D2">
        <v>20</v>
      </c>
      <c r="E2">
        <v>29</v>
      </c>
      <c r="F2">
        <v>12508</v>
      </c>
      <c r="G2">
        <v>16111</v>
      </c>
      <c r="H2">
        <v>16111</v>
      </c>
      <c r="I2">
        <v>14762</v>
      </c>
      <c r="J2">
        <v>10300</v>
      </c>
      <c r="K2">
        <v>-5811</v>
      </c>
      <c r="L2">
        <v>-36.1</v>
      </c>
      <c r="M2" t="b">
        <v>0</v>
      </c>
      <c r="N2" t="s">
        <v>14</v>
      </c>
    </row>
    <row r="3" spans="1:14">
      <c r="A3" t="s">
        <v>15</v>
      </c>
      <c r="B3">
        <v>2</v>
      </c>
      <c r="C3" t="s">
        <v>16</v>
      </c>
      <c r="D3">
        <v>30</v>
      </c>
      <c r="E3">
        <v>36</v>
      </c>
      <c r="I3">
        <v>6138</v>
      </c>
      <c r="J3">
        <v>6138</v>
      </c>
      <c r="K3">
        <v>6138</v>
      </c>
      <c r="M3" t="b">
        <v>1</v>
      </c>
      <c r="N3" t="s">
        <v>17</v>
      </c>
    </row>
    <row r="4" spans="1:14">
      <c r="A4" t="s">
        <v>15</v>
      </c>
      <c r="B4">
        <v>3</v>
      </c>
      <c r="C4" t="s">
        <v>18</v>
      </c>
      <c r="D4">
        <v>37</v>
      </c>
      <c r="E4">
        <v>44</v>
      </c>
      <c r="G4">
        <v>1500</v>
      </c>
      <c r="H4">
        <v>1500</v>
      </c>
      <c r="I4">
        <v>2660</v>
      </c>
      <c r="J4">
        <v>2660</v>
      </c>
      <c r="K4">
        <v>1160</v>
      </c>
      <c r="L4">
        <v>77.3</v>
      </c>
      <c r="M4" t="b">
        <v>0</v>
      </c>
      <c r="N4" t="e">
        <f>- AI에 대응한 개인정보 특화 기술개발을 통해 개인정보 침해 예방 등 안전 활용을 지원하여 신뢰 기반의 AI 산업 육성 - (AI 대응 개인정보보호 강화기술 개발) AI 학습‧서비스 제공 및 활용 등 AI 전 단계 에서의 안전한 개인정보 활용 지원, 정보주체의 실질적 권리 보장을 위한 프라이버시 수준 진단 등 다양한 AI 대응 개인정보보호 강화 기술개발</f>
        <v>#NAME?</v>
      </c>
    </row>
    <row r="5" spans="1:14">
      <c r="A5" t="s">
        <v>15</v>
      </c>
      <c r="B5">
        <v>4</v>
      </c>
      <c r="C5" t="s">
        <v>19</v>
      </c>
      <c r="D5">
        <v>45</v>
      </c>
      <c r="E5">
        <v>57</v>
      </c>
      <c r="F5">
        <v>3328</v>
      </c>
      <c r="G5">
        <v>3564</v>
      </c>
      <c r="H5">
        <v>3564</v>
      </c>
      <c r="I5">
        <v>6456</v>
      </c>
      <c r="J5">
        <v>6456</v>
      </c>
      <c r="K5">
        <v>2892</v>
      </c>
      <c r="L5">
        <v>81.099999999999994</v>
      </c>
      <c r="M5" t="b">
        <v>0</v>
      </c>
      <c r="N5" t="e">
        <f ca="1">- (가명정보 제도 운영) 안정적 제도 운영을 위한 모니터링, 가명정보 결합전문기관 관리·감독, 제도‧기술 표준 선점을 위한 연구 등 - (가명정보 활용 지원 인프라 운영) 가명정보 처리 지원 및 안전성 검증, 전문인력 공급 지원, 개인정보가 포함된 데이터 분석을 위한 시설‧분석도구 지원 등 - (가명정보 활용 지원 시스템 운영) 온라인 채널로서 각종 정보(제도, 기술, 국제동향, 사례, 법령해석 등) 제공, 가명처리 소프트웨어 지원 등</f>
        <v>#NAME?</v>
      </c>
    </row>
    <row r="6" spans="1:14">
      <c r="A6" t="s">
        <v>20</v>
      </c>
      <c r="B6">
        <v>5</v>
      </c>
      <c r="C6" t="s">
        <v>21</v>
      </c>
      <c r="D6">
        <v>58</v>
      </c>
      <c r="E6">
        <v>63</v>
      </c>
      <c r="F6">
        <v>19471</v>
      </c>
      <c r="G6">
        <v>16186</v>
      </c>
      <c r="H6">
        <v>16186</v>
      </c>
      <c r="I6">
        <v>20916</v>
      </c>
      <c r="J6">
        <v>21372</v>
      </c>
      <c r="K6">
        <v>5186</v>
      </c>
      <c r="L6">
        <v>32</v>
      </c>
      <c r="M6" t="b">
        <v>0</v>
      </c>
      <c r="N6" t="s">
        <v>22</v>
      </c>
    </row>
    <row r="7" spans="1:14">
      <c r="A7" t="s">
        <v>20</v>
      </c>
      <c r="B7">
        <v>6</v>
      </c>
      <c r="C7" t="s">
        <v>23</v>
      </c>
      <c r="D7">
        <v>64</v>
      </c>
      <c r="E7">
        <v>71</v>
      </c>
      <c r="F7">
        <v>62509</v>
      </c>
      <c r="G7">
        <v>77006</v>
      </c>
      <c r="H7">
        <v>77006</v>
      </c>
      <c r="I7">
        <v>78334</v>
      </c>
      <c r="J7">
        <v>78334</v>
      </c>
      <c r="K7">
        <v>1328</v>
      </c>
      <c r="L7">
        <v>1.7</v>
      </c>
      <c r="M7" t="b">
        <v>0</v>
      </c>
      <c r="N7" t="s">
        <v>24</v>
      </c>
    </row>
    <row r="8" spans="1:14">
      <c r="A8" t="s">
        <v>20</v>
      </c>
      <c r="B8">
        <v>7</v>
      </c>
      <c r="C8" t="s">
        <v>25</v>
      </c>
      <c r="D8">
        <v>72</v>
      </c>
      <c r="E8">
        <v>77</v>
      </c>
      <c r="F8">
        <v>1092</v>
      </c>
      <c r="G8">
        <v>1976</v>
      </c>
      <c r="H8">
        <v>1976</v>
      </c>
      <c r="I8">
        <v>1976</v>
      </c>
      <c r="J8">
        <v>1976</v>
      </c>
      <c r="M8" t="b">
        <v>0</v>
      </c>
      <c r="N8" t="e">
        <f>- (①내역: 과학기술 기반 군중밀집 관리 기술 개발) 군중 분석 및 관리 기술 개발을 통해 밀집도를 계산･예측하고 이를 기반으로 현장 상황 분석과 경찰력 지원까지 연계 가능 한 종합솔루션 개발 - (②내역: 기획평가관리비) 원활한 사업 추진을 위한 기획, 평가, 관리 등 소요 비용</f>
        <v>#NAME?</v>
      </c>
    </row>
    <row r="9" spans="1:14">
      <c r="A9" t="s">
        <v>20</v>
      </c>
      <c r="B9">
        <v>8</v>
      </c>
      <c r="C9" t="s">
        <v>26</v>
      </c>
      <c r="D9">
        <v>78</v>
      </c>
      <c r="E9">
        <v>83</v>
      </c>
      <c r="F9">
        <v>10353</v>
      </c>
      <c r="G9">
        <v>7990</v>
      </c>
      <c r="H9">
        <v>7990</v>
      </c>
      <c r="I9">
        <v>4126</v>
      </c>
      <c r="J9">
        <v>4126</v>
      </c>
      <c r="K9">
        <v>-3864</v>
      </c>
      <c r="L9">
        <v>-48.4</v>
      </c>
      <c r="M9" t="b">
        <v>0</v>
      </c>
      <c r="N9" t="s">
        <v>27</v>
      </c>
    </row>
    <row r="10" spans="1:14">
      <c r="A10" t="s">
        <v>20</v>
      </c>
      <c r="B10">
        <v>9</v>
      </c>
      <c r="C10" t="s">
        <v>28</v>
      </c>
      <c r="D10">
        <v>84</v>
      </c>
      <c r="E10">
        <v>92</v>
      </c>
      <c r="F10">
        <v>7476</v>
      </c>
      <c r="G10">
        <v>4529</v>
      </c>
      <c r="H10">
        <v>4529</v>
      </c>
      <c r="I10">
        <v>3068</v>
      </c>
      <c r="J10">
        <v>3068</v>
      </c>
      <c r="K10">
        <v>-1461</v>
      </c>
      <c r="L10">
        <v>-32.299999999999997</v>
      </c>
      <c r="M10" t="b">
        <v>0</v>
      </c>
      <c r="N10" t="s">
        <v>29</v>
      </c>
    </row>
    <row r="11" spans="1:14">
      <c r="A11" t="s">
        <v>20</v>
      </c>
      <c r="B11">
        <v>10</v>
      </c>
      <c r="C11" t="s">
        <v>30</v>
      </c>
      <c r="D11">
        <v>93</v>
      </c>
      <c r="E11">
        <v>102</v>
      </c>
      <c r="F11">
        <v>500</v>
      </c>
      <c r="G11">
        <v>1500</v>
      </c>
      <c r="H11">
        <v>1500</v>
      </c>
      <c r="I11">
        <v>4932</v>
      </c>
      <c r="J11">
        <v>4932</v>
      </c>
      <c r="K11">
        <v>3432</v>
      </c>
      <c r="L11">
        <v>222.8</v>
      </c>
      <c r="M11" t="b">
        <v>0</v>
      </c>
      <c r="N11" t="s">
        <v>31</v>
      </c>
    </row>
    <row r="12" spans="1:14">
      <c r="A12" t="s">
        <v>20</v>
      </c>
      <c r="B12">
        <v>11</v>
      </c>
      <c r="C12" t="s">
        <v>32</v>
      </c>
      <c r="D12">
        <v>103</v>
      </c>
      <c r="E12">
        <v>108</v>
      </c>
      <c r="G12">
        <v>3640</v>
      </c>
      <c r="H12">
        <v>3640</v>
      </c>
      <c r="I12">
        <v>6136</v>
      </c>
      <c r="J12">
        <v>6136</v>
      </c>
      <c r="K12">
        <v>2496</v>
      </c>
      <c r="L12">
        <v>68.599999999999994</v>
      </c>
      <c r="M12" t="b">
        <v>0</v>
      </c>
      <c r="N12" t="e">
        <f>- (①내역: 사이버범죄 대응 기술) 사이버 환경에서 범죄수사, 근원지 추적, 예방을목적 으로 범죄 사실과 관련된 각종 수사 데이터를 통합･분석하여 이를 토대로 연관관계를 분석･추론하여 용의자와 공범을 특정, 검거하는 대응 시스템 개발 - (②내역: 기획평가관리비) 원활한 사업 추진을 위한 기획, 평가, 관리 등 소요 비용</f>
        <v>#NAME?</v>
      </c>
    </row>
    <row r="13" spans="1:14">
      <c r="A13" t="s">
        <v>20</v>
      </c>
      <c r="B13">
        <v>12</v>
      </c>
      <c r="C13" t="s">
        <v>33</v>
      </c>
      <c r="D13">
        <v>109</v>
      </c>
      <c r="E13">
        <v>116</v>
      </c>
      <c r="F13">
        <v>1897</v>
      </c>
      <c r="G13">
        <v>5304</v>
      </c>
      <c r="H13">
        <v>5304</v>
      </c>
      <c r="I13">
        <v>8736</v>
      </c>
      <c r="J13">
        <v>8736</v>
      </c>
      <c r="K13">
        <v>3432</v>
      </c>
      <c r="L13">
        <v>64.7</v>
      </c>
      <c r="M13" t="b">
        <v>0</v>
      </c>
      <c r="N13" t="s">
        <v>34</v>
      </c>
    </row>
    <row r="14" spans="1:14">
      <c r="A14" t="s">
        <v>20</v>
      </c>
      <c r="B14">
        <v>13</v>
      </c>
      <c r="C14" t="s">
        <v>35</v>
      </c>
      <c r="D14">
        <v>117</v>
      </c>
      <c r="E14">
        <v>123</v>
      </c>
      <c r="G14">
        <v>692</v>
      </c>
      <c r="H14">
        <v>692</v>
      </c>
      <c r="I14">
        <v>3465</v>
      </c>
      <c r="J14">
        <v>3465</v>
      </c>
      <c r="K14">
        <v>2773</v>
      </c>
      <c r="L14">
        <v>400.7</v>
      </c>
      <c r="M14" t="b">
        <v>0</v>
      </c>
      <c r="N14" t="e">
        <f ca="1">- (①내역: 차세대 지능형 순찰 플랫폼 개발) AI 기반, 순찰 상황에서 객체나 상황을 능동적으로 인지하고 위험도 등을 종합 판단하는 이동형 솔루션(Tool) 개발을 통해 경찰의 순찰 활동을 비롯한 치안 현장 대응을 지원 ※ (성과물) 상황인지및의사결정지원알고리즘, 보이스/비전AI 기반센서모듈등 - (②내역: 기획평가관리비) 원활한 사업 추진을 위한 기획, 평가, 관리 등 소요 비용</f>
        <v>#NAME?</v>
      </c>
    </row>
    <row r="15" spans="1:14">
      <c r="A15" t="s">
        <v>20</v>
      </c>
      <c r="B15">
        <v>14</v>
      </c>
      <c r="C15" t="s">
        <v>36</v>
      </c>
      <c r="D15">
        <v>124</v>
      </c>
      <c r="E15">
        <v>130</v>
      </c>
      <c r="I15">
        <v>3120</v>
      </c>
      <c r="J15">
        <v>1560</v>
      </c>
      <c r="K15">
        <v>1560</v>
      </c>
      <c r="M15" t="b">
        <v>1</v>
      </c>
      <c r="N15" t="s">
        <v>37</v>
      </c>
    </row>
    <row r="16" spans="1:14">
      <c r="A16" t="s">
        <v>20</v>
      </c>
      <c r="B16">
        <v>15</v>
      </c>
      <c r="C16" t="s">
        <v>38</v>
      </c>
      <c r="D16">
        <v>131</v>
      </c>
      <c r="E16">
        <v>140</v>
      </c>
      <c r="F16">
        <v>24120</v>
      </c>
      <c r="G16">
        <v>19660</v>
      </c>
      <c r="H16">
        <v>19660</v>
      </c>
      <c r="I16">
        <v>21570</v>
      </c>
      <c r="J16">
        <v>19620</v>
      </c>
      <c r="K16">
        <v>-40</v>
      </c>
      <c r="L16">
        <v>-0.2</v>
      </c>
      <c r="M16" t="b">
        <v>0</v>
      </c>
      <c r="N16" t="s">
        <v>39</v>
      </c>
    </row>
    <row r="17" spans="1:14">
      <c r="A17" t="s">
        <v>40</v>
      </c>
      <c r="B17">
        <v>16</v>
      </c>
      <c r="C17" t="s">
        <v>41</v>
      </c>
      <c r="D17">
        <v>141</v>
      </c>
      <c r="E17">
        <v>151</v>
      </c>
      <c r="F17">
        <v>22378</v>
      </c>
      <c r="G17">
        <v>21701</v>
      </c>
      <c r="H17">
        <v>21701</v>
      </c>
      <c r="J17">
        <v>23739</v>
      </c>
      <c r="K17">
        <v>2038</v>
      </c>
      <c r="L17">
        <v>9.4</v>
      </c>
      <c r="M17" t="b">
        <v>0</v>
      </c>
      <c r="N17" t="s">
        <v>42</v>
      </c>
    </row>
    <row r="18" spans="1:14">
      <c r="A18" t="s">
        <v>40</v>
      </c>
      <c r="B18">
        <v>17</v>
      </c>
      <c r="C18" t="s">
        <v>43</v>
      </c>
      <c r="D18">
        <v>152</v>
      </c>
      <c r="E18">
        <v>160</v>
      </c>
      <c r="F18">
        <v>571022</v>
      </c>
      <c r="G18">
        <v>603198</v>
      </c>
      <c r="H18">
        <v>603198</v>
      </c>
      <c r="J18">
        <v>508979</v>
      </c>
      <c r="K18">
        <v>-94219</v>
      </c>
      <c r="L18">
        <v>-15.6</v>
      </c>
      <c r="M18" t="b">
        <v>0</v>
      </c>
      <c r="N18" t="e">
        <f>- (일반직종 훈련) 급격한 기술발전에 적응하고 노동시장 변화에 대응하는 사회안전망 차원에서 생애에 걸친 역량개발 향상 등을 위해 국민 스스로 직업능력개발훈련을 실시할 수 있도록 훈련비 등 지원 - (국가기간‧전략산업직종 훈련) 금속, 동력, 전기, 전자 등 우리나라 중요 산업분야에서 부족하거나 새로운 수요가 예상되는 직종에 대한 직업능력개발훈련을 실시하여 기업에서 필요로 하는 기술‧기능인력 양성‧공급 - (산업구조변화대응 등 특화훈련) 산업구조 변화 및 고용위기 등으로 어려움을 겪고 있는 재직자, 자영업자 등의 고용유지, 이‧전직을 신속히 지원하고 인력양성이 필요한 산업계의 인력수급을 활성화하기 위해 현장 수요 반영 훈련을 수시 공급하고 훈련비 등 지원</f>
        <v>#NAME?</v>
      </c>
    </row>
    <row r="19" spans="1:14">
      <c r="A19" t="s">
        <v>40</v>
      </c>
      <c r="B19">
        <v>18</v>
      </c>
      <c r="C19" t="s">
        <v>44</v>
      </c>
      <c r="D19">
        <v>161</v>
      </c>
      <c r="E19">
        <v>170</v>
      </c>
      <c r="F19">
        <v>577838</v>
      </c>
      <c r="G19">
        <v>580161</v>
      </c>
      <c r="H19">
        <v>596161</v>
      </c>
      <c r="J19">
        <v>627325</v>
      </c>
      <c r="K19">
        <v>47164</v>
      </c>
      <c r="L19">
        <v>8.1</v>
      </c>
      <c r="M19" t="b">
        <v>0</v>
      </c>
      <c r="N19" t="s">
        <v>45</v>
      </c>
    </row>
    <row r="20" spans="1:14" s="3" customFormat="1">
      <c r="A20" s="3" t="s">
        <v>40</v>
      </c>
      <c r="B20" s="3">
        <v>19</v>
      </c>
      <c r="C20" s="3" t="s">
        <v>971</v>
      </c>
      <c r="D20" s="3">
        <v>171</v>
      </c>
      <c r="E20" s="3">
        <v>176</v>
      </c>
      <c r="F20" s="3">
        <v>1456</v>
      </c>
      <c r="G20" s="3">
        <v>7276</v>
      </c>
      <c r="H20" s="3">
        <v>7276</v>
      </c>
      <c r="I20" s="2">
        <v>5626</v>
      </c>
      <c r="J20" s="1">
        <v>5626</v>
      </c>
      <c r="K20" s="3">
        <v>-4317</v>
      </c>
      <c r="L20" s="3">
        <v>-59.3</v>
      </c>
      <c r="M20" s="3" t="b">
        <v>0</v>
      </c>
      <c r="N20" s="3" t="s">
        <v>46</v>
      </c>
    </row>
    <row r="21" spans="1:14">
      <c r="A21" t="s">
        <v>40</v>
      </c>
      <c r="B21">
        <v>20</v>
      </c>
      <c r="C21" t="s">
        <v>47</v>
      </c>
      <c r="D21">
        <v>177</v>
      </c>
      <c r="E21">
        <v>188</v>
      </c>
      <c r="F21">
        <v>5714</v>
      </c>
      <c r="G21">
        <v>6047</v>
      </c>
      <c r="H21">
        <v>6047</v>
      </c>
      <c r="I21" s="2">
        <v>7523</v>
      </c>
      <c r="J21" s="1">
        <v>7523</v>
      </c>
      <c r="K21">
        <v>1476</v>
      </c>
      <c r="L21">
        <v>24.4</v>
      </c>
      <c r="M21" t="b">
        <v>0</v>
      </c>
      <c r="N21" t="e">
        <f>- (고용24 대민포털 운영 및 유지관리) ①고용관련 제도에 대한 종합적인 정보제공 ②민원신청 및 수혜이력 서비스 단일화 ③고용서비스에 대한 비대면·디지털화 지원 ④통합데이터 기반 개인·기업 맞춤서비스 고용통합서비스 제공 - (고용행정 통합포털 운영 및 유지관리) ①5대 주요 고용행정서비스를 통합·효율성이 향상된 행정서비스 제공 ②업무효율성 향상을 위한 각종 솔루션 적용 및 서비스 운영 ③정책수립부터 집행, 검증까지 정책의 라이프사이클을 관리하는 프로세스 운영관리등 고용행정통합포털 서비스 제공</f>
        <v>#NAME?</v>
      </c>
    </row>
    <row r="22" spans="1:14">
      <c r="A22" t="s">
        <v>40</v>
      </c>
      <c r="B22">
        <v>21</v>
      </c>
      <c r="C22" t="s">
        <v>48</v>
      </c>
      <c r="D22">
        <v>189</v>
      </c>
      <c r="E22">
        <v>194</v>
      </c>
      <c r="I22" s="2">
        <v>1554</v>
      </c>
      <c r="J22" s="1">
        <v>1554</v>
      </c>
      <c r="K22">
        <v>1554</v>
      </c>
      <c r="M22" t="b">
        <v>1</v>
      </c>
      <c r="N22" t="e">
        <f>- (데이터 기반 산재 예방·대응 지원체계 구축) 산업안전보건 데이터의 산업적, 기술적, 정책적 활용도 제고를 위한 데이터 관리·운영 체계 고도화가 필요함에 따라 산업안전보건 데이터 통합 및 표 준화를 위한 프레임워크 개발 및 데이터 정제 등 품질관리 방안 수립 연구</f>
        <v>#NAME?</v>
      </c>
    </row>
    <row r="23" spans="1:14">
      <c r="A23" t="s">
        <v>40</v>
      </c>
      <c r="B23">
        <v>22</v>
      </c>
      <c r="C23" t="s">
        <v>49</v>
      </c>
      <c r="D23">
        <v>195</v>
      </c>
      <c r="E23">
        <v>203</v>
      </c>
      <c r="F23">
        <v>368023</v>
      </c>
      <c r="G23">
        <v>300670</v>
      </c>
      <c r="H23">
        <v>300670</v>
      </c>
      <c r="I23" s="2">
        <v>249668</v>
      </c>
      <c r="J23" s="1">
        <v>249668</v>
      </c>
      <c r="K23">
        <v>-51002</v>
      </c>
      <c r="L23">
        <v>-17</v>
      </c>
      <c r="M23" t="b">
        <v>0</v>
      </c>
      <c r="N23" t="s">
        <v>50</v>
      </c>
    </row>
    <row r="24" spans="1:14">
      <c r="A24" t="s">
        <v>40</v>
      </c>
      <c r="B24">
        <v>23</v>
      </c>
      <c r="C24" t="s">
        <v>51</v>
      </c>
      <c r="D24">
        <v>204</v>
      </c>
      <c r="E24">
        <v>220</v>
      </c>
      <c r="F24">
        <v>8216</v>
      </c>
      <c r="G24">
        <v>7507</v>
      </c>
      <c r="H24">
        <v>7507</v>
      </c>
      <c r="I24" s="2">
        <v>9601</v>
      </c>
      <c r="J24" s="2">
        <v>11101</v>
      </c>
      <c r="K24">
        <v>3594</v>
      </c>
      <c r="L24">
        <v>47.9</v>
      </c>
      <c r="M24" t="b">
        <v>0</v>
      </c>
      <c r="N24" t="s">
        <v>52</v>
      </c>
    </row>
    <row r="25" spans="1:14">
      <c r="A25" t="s">
        <v>40</v>
      </c>
      <c r="B25">
        <v>24</v>
      </c>
      <c r="C25" t="s">
        <v>53</v>
      </c>
      <c r="D25">
        <v>221</v>
      </c>
      <c r="E25">
        <v>232</v>
      </c>
      <c r="F25">
        <v>75138</v>
      </c>
      <c r="G25">
        <v>75778</v>
      </c>
      <c r="H25">
        <v>75778</v>
      </c>
      <c r="I25" s="2">
        <v>78970</v>
      </c>
      <c r="J25" s="2">
        <v>82080</v>
      </c>
      <c r="K25">
        <v>6302</v>
      </c>
      <c r="L25">
        <v>8.3000000000000007</v>
      </c>
      <c r="M25" t="b">
        <v>0</v>
      </c>
      <c r="N25" t="s">
        <v>54</v>
      </c>
    </row>
    <row r="26" spans="1:14">
      <c r="A26" t="s">
        <v>40</v>
      </c>
      <c r="B26">
        <v>25</v>
      </c>
      <c r="C26" t="s">
        <v>55</v>
      </c>
      <c r="D26">
        <v>233</v>
      </c>
      <c r="E26">
        <v>245</v>
      </c>
      <c r="F26">
        <v>18394</v>
      </c>
      <c r="G26">
        <v>19802</v>
      </c>
      <c r="H26">
        <v>19802</v>
      </c>
      <c r="I26" s="2">
        <v>23024</v>
      </c>
      <c r="J26" s="1">
        <v>23024</v>
      </c>
      <c r="K26">
        <v>3222</v>
      </c>
      <c r="L26">
        <v>16.3</v>
      </c>
      <c r="M26" t="b">
        <v>0</v>
      </c>
      <c r="N26" t="s">
        <v>56</v>
      </c>
    </row>
    <row r="27" spans="1:14">
      <c r="A27" t="s">
        <v>40</v>
      </c>
      <c r="B27">
        <v>26</v>
      </c>
      <c r="C27" t="s">
        <v>57</v>
      </c>
      <c r="D27">
        <v>246</v>
      </c>
      <c r="E27">
        <v>258</v>
      </c>
      <c r="G27">
        <v>15989</v>
      </c>
      <c r="H27">
        <v>15989</v>
      </c>
      <c r="I27" s="2">
        <v>14795</v>
      </c>
      <c r="J27" s="2">
        <v>25345</v>
      </c>
      <c r="K27">
        <v>9356</v>
      </c>
      <c r="L27">
        <v>58.5</v>
      </c>
      <c r="M27" t="b">
        <v>0</v>
      </c>
      <c r="N27" t="s">
        <v>58</v>
      </c>
    </row>
    <row r="28" spans="1:14">
      <c r="A28" t="s">
        <v>59</v>
      </c>
      <c r="B28">
        <v>27</v>
      </c>
      <c r="C28" t="s">
        <v>60</v>
      </c>
      <c r="D28">
        <v>259</v>
      </c>
      <c r="E28">
        <v>264</v>
      </c>
      <c r="I28">
        <v>2500</v>
      </c>
      <c r="J28">
        <v>2500</v>
      </c>
      <c r="K28">
        <v>2500</v>
      </c>
      <c r="M28" t="b">
        <v>1</v>
      </c>
      <c r="N28" t="s">
        <v>61</v>
      </c>
    </row>
    <row r="29" spans="1:14">
      <c r="A29" t="s">
        <v>59</v>
      </c>
      <c r="B29">
        <v>28</v>
      </c>
      <c r="C29" t="s">
        <v>62</v>
      </c>
      <c r="D29">
        <v>265</v>
      </c>
      <c r="E29">
        <v>271</v>
      </c>
      <c r="I29">
        <v>20000</v>
      </c>
      <c r="J29">
        <v>20000</v>
      </c>
      <c r="K29">
        <v>20000</v>
      </c>
      <c r="M29" t="b">
        <v>1</v>
      </c>
      <c r="N29" t="s">
        <v>63</v>
      </c>
    </row>
    <row r="30" spans="1:14">
      <c r="A30" t="s">
        <v>59</v>
      </c>
      <c r="B30">
        <v>29</v>
      </c>
      <c r="C30" t="s">
        <v>64</v>
      </c>
      <c r="D30">
        <v>272</v>
      </c>
      <c r="E30">
        <v>278</v>
      </c>
      <c r="I30">
        <v>20000</v>
      </c>
      <c r="J30">
        <v>20000</v>
      </c>
      <c r="K30">
        <v>20000</v>
      </c>
      <c r="M30" t="b">
        <v>1</v>
      </c>
      <c r="N30" t="e">
        <f>- (AI AGENT 선도 국가 사업) 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개발･실증 지원</f>
        <v>#NAME?</v>
      </c>
    </row>
    <row r="31" spans="1:14">
      <c r="A31" t="s">
        <v>59</v>
      </c>
      <c r="B31">
        <v>30</v>
      </c>
      <c r="C31" t="s">
        <v>65</v>
      </c>
      <c r="D31">
        <v>279</v>
      </c>
      <c r="E31">
        <v>286</v>
      </c>
      <c r="I31">
        <v>1500</v>
      </c>
      <c r="J31">
        <v>1500</v>
      </c>
      <c r="K31">
        <v>1500</v>
      </c>
      <c r="M31" t="b">
        <v>1</v>
      </c>
      <c r="N31" t="s">
        <v>66</v>
      </c>
    </row>
    <row r="32" spans="1:14">
      <c r="A32" t="s">
        <v>59</v>
      </c>
      <c r="B32">
        <v>31</v>
      </c>
      <c r="C32" t="s">
        <v>67</v>
      </c>
      <c r="D32">
        <v>287</v>
      </c>
      <c r="E32">
        <v>294</v>
      </c>
      <c r="F32">
        <v>5000</v>
      </c>
      <c r="G32">
        <v>5000</v>
      </c>
      <c r="H32">
        <v>5000</v>
      </c>
      <c r="I32">
        <v>5000</v>
      </c>
      <c r="J32">
        <v>5000</v>
      </c>
      <c r="K32">
        <v>0</v>
      </c>
      <c r="L32">
        <v>0</v>
      </c>
      <c r="M32" t="b">
        <v>0</v>
      </c>
      <c r="N32" t="s">
        <v>68</v>
      </c>
    </row>
    <row r="33" spans="1:14">
      <c r="A33" t="s">
        <v>59</v>
      </c>
      <c r="B33">
        <v>32</v>
      </c>
      <c r="C33" t="s">
        <v>69</v>
      </c>
      <c r="D33">
        <v>295</v>
      </c>
      <c r="E33">
        <v>300</v>
      </c>
      <c r="I33">
        <v>2800</v>
      </c>
      <c r="J33">
        <v>2800</v>
      </c>
      <c r="K33">
        <v>2800</v>
      </c>
      <c r="M33" t="b">
        <v>1</v>
      </c>
      <c r="N33" t="e">
        <f>- (AI 기반 민군 유·무인복합체계 주파수 공동사용 및 운용 기술 개발) 유·무인복합 체계 수요 급증 및 주파수 부족 심화에 대응하여, 주파수 이용효율 극대화를 위한 AI 기반 민·군 주파수 공동사용 및 운용 기술 확보</f>
        <v>#NAME?</v>
      </c>
    </row>
    <row r="34" spans="1:14">
      <c r="A34" t="s">
        <v>59</v>
      </c>
      <c r="B34">
        <v>33</v>
      </c>
      <c r="C34" t="s">
        <v>70</v>
      </c>
      <c r="D34">
        <v>301</v>
      </c>
      <c r="E34">
        <v>308</v>
      </c>
      <c r="G34">
        <v>1000</v>
      </c>
      <c r="H34">
        <v>1000</v>
      </c>
      <c r="I34">
        <v>3070</v>
      </c>
      <c r="J34">
        <v>3670</v>
      </c>
      <c r="K34">
        <v>2670</v>
      </c>
      <c r="L34">
        <v>267</v>
      </c>
      <c r="M34" t="b">
        <v>0</v>
      </c>
      <c r="N34" t="s">
        <v>71</v>
      </c>
    </row>
    <row r="35" spans="1:14">
      <c r="A35" t="s">
        <v>59</v>
      </c>
      <c r="B35">
        <v>34</v>
      </c>
      <c r="C35" t="s">
        <v>72</v>
      </c>
      <c r="D35">
        <v>309</v>
      </c>
      <c r="E35">
        <v>319</v>
      </c>
      <c r="F35">
        <v>18813</v>
      </c>
      <c r="G35">
        <v>24370</v>
      </c>
      <c r="H35">
        <v>98370</v>
      </c>
      <c r="I35">
        <v>102370</v>
      </c>
      <c r="J35">
        <v>113370</v>
      </c>
      <c r="K35">
        <v>15000</v>
      </c>
      <c r="L35">
        <v>15.2</v>
      </c>
      <c r="M35" t="b">
        <v>0</v>
      </c>
      <c r="N35" t="s">
        <v>73</v>
      </c>
    </row>
    <row r="36" spans="1:14">
      <c r="A36" t="s">
        <v>59</v>
      </c>
      <c r="B36">
        <v>35</v>
      </c>
      <c r="C36" t="s">
        <v>74</v>
      </c>
      <c r="D36">
        <v>320</v>
      </c>
      <c r="E36">
        <v>325</v>
      </c>
      <c r="G36">
        <v>3500</v>
      </c>
      <c r="H36">
        <v>3500</v>
      </c>
      <c r="I36">
        <v>2250</v>
      </c>
      <c r="J36">
        <v>2250</v>
      </c>
      <c r="K36">
        <v>-1250</v>
      </c>
      <c r="L36">
        <v>-35.700000000000003</v>
      </c>
      <c r="M36" t="b">
        <v>0</v>
      </c>
      <c r="N36" t="e">
        <f>- (AI반도체 기술인재 공급 플랫폼) 국내 AI반도체 관련 기업이 당면하고 있는 AI반도체 기술 및 인력난 극복을 위해 국내·외 인재 공급체계를 구축하여 AI반도체 기업이 즉시 활용 가능한 인력을 지원</f>
        <v>#NAME?</v>
      </c>
    </row>
    <row r="37" spans="1:14">
      <c r="A37" t="s">
        <v>59</v>
      </c>
      <c r="B37">
        <v>36</v>
      </c>
      <c r="C37" t="s">
        <v>75</v>
      </c>
      <c r="D37">
        <v>326</v>
      </c>
      <c r="E37">
        <v>331</v>
      </c>
      <c r="I37">
        <v>11000</v>
      </c>
      <c r="J37">
        <v>11000</v>
      </c>
      <c r="K37">
        <v>11000</v>
      </c>
      <c r="L37">
        <v>100</v>
      </c>
      <c r="M37" t="b">
        <v>1</v>
      </c>
      <c r="N37" t="s">
        <v>76</v>
      </c>
    </row>
    <row r="38" spans="1:14">
      <c r="A38" t="s">
        <v>59</v>
      </c>
      <c r="B38">
        <v>37</v>
      </c>
      <c r="C38" t="s">
        <v>77</v>
      </c>
      <c r="D38">
        <v>332</v>
      </c>
      <c r="E38">
        <v>339</v>
      </c>
      <c r="H38">
        <v>8000</v>
      </c>
      <c r="J38">
        <v>1200</v>
      </c>
      <c r="K38">
        <v>-6800</v>
      </c>
      <c r="L38">
        <v>-85</v>
      </c>
      <c r="M38" t="b">
        <v>1</v>
      </c>
      <c r="N38" t="s">
        <v>78</v>
      </c>
    </row>
    <row r="39" spans="1:14">
      <c r="A39" t="s">
        <v>59</v>
      </c>
      <c r="B39">
        <v>38</v>
      </c>
      <c r="C39" t="s">
        <v>79</v>
      </c>
      <c r="D39">
        <v>340</v>
      </c>
      <c r="E39">
        <v>345</v>
      </c>
      <c r="I39">
        <v>4500</v>
      </c>
      <c r="J39">
        <v>4500</v>
      </c>
      <c r="K39">
        <v>4500</v>
      </c>
      <c r="M39" t="b">
        <v>1</v>
      </c>
      <c r="N39" t="s">
        <v>80</v>
      </c>
    </row>
    <row r="40" spans="1:14">
      <c r="A40" t="s">
        <v>59</v>
      </c>
      <c r="B40">
        <v>39</v>
      </c>
      <c r="C40" t="s">
        <v>81</v>
      </c>
      <c r="D40">
        <v>346</v>
      </c>
      <c r="E40">
        <v>351</v>
      </c>
      <c r="I40">
        <v>9000</v>
      </c>
      <c r="J40">
        <v>9000</v>
      </c>
      <c r="K40">
        <v>9000</v>
      </c>
      <c r="M40" t="b">
        <v>1</v>
      </c>
      <c r="N40" t="s">
        <v>82</v>
      </c>
    </row>
    <row r="41" spans="1:14">
      <c r="A41" t="s">
        <v>59</v>
      </c>
      <c r="B41">
        <v>40</v>
      </c>
      <c r="C41" t="s">
        <v>83</v>
      </c>
      <c r="D41">
        <v>352</v>
      </c>
      <c r="E41">
        <v>357</v>
      </c>
      <c r="I41">
        <v>13500</v>
      </c>
      <c r="J41">
        <v>13500</v>
      </c>
      <c r="K41">
        <v>13500</v>
      </c>
      <c r="M41" t="b">
        <v>1</v>
      </c>
      <c r="N41" t="s">
        <v>84</v>
      </c>
    </row>
    <row r="42" spans="1:14">
      <c r="A42" t="s">
        <v>59</v>
      </c>
      <c r="B42">
        <v>41</v>
      </c>
      <c r="C42" t="s">
        <v>85</v>
      </c>
      <c r="D42">
        <v>358</v>
      </c>
      <c r="E42">
        <v>363</v>
      </c>
      <c r="I42">
        <v>10200</v>
      </c>
      <c r="J42">
        <v>10200</v>
      </c>
      <c r="K42">
        <v>10200</v>
      </c>
      <c r="M42" t="b">
        <v>1</v>
      </c>
      <c r="N42" t="s">
        <v>86</v>
      </c>
    </row>
    <row r="43" spans="1:14">
      <c r="A43" t="s">
        <v>59</v>
      </c>
      <c r="B43">
        <v>42</v>
      </c>
      <c r="C43" t="s">
        <v>87</v>
      </c>
      <c r="D43">
        <v>364</v>
      </c>
      <c r="E43">
        <v>370</v>
      </c>
      <c r="I43">
        <v>117960</v>
      </c>
      <c r="J43">
        <v>117960</v>
      </c>
      <c r="K43">
        <v>117960</v>
      </c>
      <c r="M43" t="b">
        <v>1</v>
      </c>
      <c r="N43" t="e">
        <f ca="1">- (AI·SW중심대학) 대학 교육체계를 AI·SW 중심으로 혁신하여 디지털 경쟁력을 이끌 핵심인재 및 디지털 전 산업에 가치를 창출할 융합인재를 양성하는 중심대학 사업 - (AI중심대학) 대학(학부) 교육을 AI 중심으로 혁신하여 우리 사회 전반의 AI 경쟁력을 강화하고 AI를 가장 잘 활용하는 국가로 도약하는 모두의 AI 기반 마련 - (SW중심대학) 산업현장의 요구를 반영하여 SW 중심으로 대학 교육체계를 혁신하고 AI 등 신기술 수요에 부합하는 SW 전문·융합인재 양성</f>
        <v>#NAME?</v>
      </c>
    </row>
    <row r="44" spans="1:14">
      <c r="A44" t="s">
        <v>59</v>
      </c>
      <c r="B44">
        <v>43</v>
      </c>
      <c r="C44" t="s">
        <v>88</v>
      </c>
      <c r="D44">
        <v>371</v>
      </c>
      <c r="E44">
        <v>378</v>
      </c>
      <c r="I44">
        <v>2000</v>
      </c>
      <c r="J44">
        <v>3246</v>
      </c>
      <c r="K44">
        <v>3246</v>
      </c>
      <c r="M44" t="b">
        <v>1</v>
      </c>
      <c r="N44" t="s">
        <v>89</v>
      </c>
    </row>
    <row r="45" spans="1:14">
      <c r="A45" t="s">
        <v>59</v>
      </c>
      <c r="B45">
        <v>44</v>
      </c>
      <c r="C45" t="s">
        <v>90</v>
      </c>
      <c r="D45">
        <v>379</v>
      </c>
      <c r="E45">
        <v>386</v>
      </c>
      <c r="I45">
        <v>6600</v>
      </c>
      <c r="J45">
        <v>6600</v>
      </c>
      <c r="K45">
        <v>6600</v>
      </c>
      <c r="M45" t="b">
        <v>1</v>
      </c>
      <c r="N45" t="e">
        <f>- (AI기반개방형자율디지털트윈핵심기술개발) 산업 환경의 디지털트윈 도입 및 구축 단계를 자동화하고, AI를 통해 실 현장의 운영·대응은 물론 현장 간 연계·협업이 가능한 자율 디지털트윈 핵심기술 확보 · (구축자동화) 다양한 객체와 프로세스를 표현하는 멀티모달 인공지능 기반 디지털 트윈 모델 자동 생성 및 갱신기술 개발 · (운영자율화) 복잡한 상황에서 능동적으로 문제를 인식하고 해결해 나가는 거대 행동 인공지능 기반 동적 프로세스 최적화기술 개발 · (협업지능화) 디지털산업 환경 내 다른 디지털트윈과 정보를 교환하고 작업을 연계, 조율하는 디지털트윈 자율 협업기술 개발</f>
        <v>#NAME?</v>
      </c>
    </row>
    <row r="46" spans="1:14">
      <c r="A46" t="s">
        <v>59</v>
      </c>
      <c r="B46">
        <v>45</v>
      </c>
      <c r="C46" t="s">
        <v>91</v>
      </c>
      <c r="D46">
        <v>387</v>
      </c>
      <c r="E46">
        <v>392</v>
      </c>
      <c r="G46">
        <v>3000</v>
      </c>
      <c r="H46">
        <v>3000</v>
      </c>
      <c r="I46">
        <v>3000</v>
      </c>
      <c r="J46">
        <v>3000</v>
      </c>
      <c r="M46" t="b">
        <v>0</v>
      </c>
      <c r="N46" t="e">
        <f>- 건강검진기록 등 의료데이터, 라이프로그, 유전체 등의 정보를 AI를 통해 복합적으로 학습하여 질병 위험 가능성을예측하고, 적정 예방 정보 등을 맞춤형으로 제공하는 선제적 서비스 개발‧실증</f>
        <v>#NAME?</v>
      </c>
    </row>
    <row r="47" spans="1:14">
      <c r="A47" t="s">
        <v>59</v>
      </c>
      <c r="B47">
        <v>46</v>
      </c>
      <c r="C47" t="s">
        <v>92</v>
      </c>
      <c r="D47">
        <v>393</v>
      </c>
      <c r="E47">
        <v>397</v>
      </c>
      <c r="I47">
        <v>6000</v>
      </c>
      <c r="J47">
        <v>6000</v>
      </c>
      <c r="K47">
        <v>6000</v>
      </c>
      <c r="M47" t="b">
        <v>1</v>
      </c>
      <c r="N47" t="e">
        <f>- (AI기반안전관리분야디지털트윈선도) 국민 안전 제고를 위해 질병·생활·산업 안전 분야의 사전 예측·예방이 가능한 AI·디지털 트윈 서비스 개발·실증 지원 - 현실과 동기화된 가상환경에서 데이터 및 센싱값을 기반으로 예측, 시뮬레이션하여 위험 요소 사전 조치 및 통합 안전관리 체계 구축</f>
        <v>#NAME?</v>
      </c>
    </row>
    <row r="48" spans="1:14">
      <c r="A48" t="s">
        <v>59</v>
      </c>
      <c r="B48">
        <v>47</v>
      </c>
      <c r="C48" t="s">
        <v>93</v>
      </c>
      <c r="D48">
        <v>398</v>
      </c>
      <c r="E48">
        <v>403</v>
      </c>
      <c r="F48">
        <v>3500</v>
      </c>
      <c r="G48">
        <v>2650</v>
      </c>
      <c r="H48">
        <v>2650</v>
      </c>
      <c r="I48">
        <v>2385</v>
      </c>
      <c r="J48">
        <v>2385</v>
      </c>
      <c r="K48">
        <v>-265</v>
      </c>
      <c r="L48">
        <v>-10</v>
      </c>
      <c r="M48" t="b">
        <v>0</v>
      </c>
      <c r="N48" t="e">
        <f>- (사업목적) 수산양식 데이터의 통합과 분석‧학습을 통한 데이터 플랫폼 구축 및 AI기반 생육 시뮬레이션, 의사결정지원 서비스 등 AI기반의 국내 수산양식산업의 디지털화 지원 - (사업내용) 김‧전복 등 국내 양식 산업 비중이 높은 품종을 대상으로 빅데이터 플랫폼 및 AI 서비스를 구축하고 해상양식 현장을 통해 실증 추진</f>
        <v>#NAME?</v>
      </c>
    </row>
    <row r="49" spans="1:14">
      <c r="A49" t="s">
        <v>59</v>
      </c>
      <c r="B49">
        <v>48</v>
      </c>
      <c r="C49" t="s">
        <v>94</v>
      </c>
      <c r="D49">
        <v>404</v>
      </c>
      <c r="E49">
        <v>408</v>
      </c>
      <c r="H49">
        <v>5000</v>
      </c>
      <c r="I49">
        <v>15000</v>
      </c>
      <c r="J49">
        <v>15000</v>
      </c>
      <c r="K49">
        <v>10000</v>
      </c>
      <c r="L49">
        <v>200</v>
      </c>
      <c r="M49" t="b">
        <v>1</v>
      </c>
      <c r="N49" t="s">
        <v>95</v>
      </c>
    </row>
    <row r="50" spans="1:14">
      <c r="A50" t="s">
        <v>59</v>
      </c>
      <c r="B50">
        <v>49</v>
      </c>
      <c r="C50" t="s">
        <v>96</v>
      </c>
      <c r="D50">
        <v>409</v>
      </c>
      <c r="E50">
        <v>415</v>
      </c>
      <c r="I50">
        <v>4500</v>
      </c>
      <c r="J50">
        <v>4500</v>
      </c>
      <c r="K50">
        <v>4500</v>
      </c>
      <c r="L50">
        <v>100</v>
      </c>
      <c r="M50" t="b">
        <v>1</v>
      </c>
      <c r="N50" t="e">
        <f ca="1">- (AI기반가상융합산업육성) AI와 가상융합기술*을 접목한 AI 서비스 개발 및 실증 지원을 통해 정보 체득 및 의사결정 과정을 혁신하는 선도 사례 창출 * ‘가상융합기술’은 이용자의 오감을 가상공간으로 확장하거나 현실공간과 혼합하여 인간과 디지털 정보 간 상호작용을 가능하게 하는 기술(「가상융합산업진흥법」상 정의) - (AI가상융합 산업혁신 프로젝트) 생산·물류공간의 최적화·효율화로 생산성·부가가치 제고 및 시간·비용 절감이 가능한 산업혁신 AI가상융합서비스 개발·실증 지원 - (AI가상융합 사회기반혁신 프로젝트) AI의 편의성과 가상융합기술의 실감성을 결합 하여일상을 혁신하는 생활밀착형 AI가상융합서비스 개발·실증 지원</f>
        <v>#NAME?</v>
      </c>
    </row>
    <row r="51" spans="1:14">
      <c r="A51" t="s">
        <v>59</v>
      </c>
      <c r="B51">
        <v>50</v>
      </c>
      <c r="C51" t="s">
        <v>97</v>
      </c>
      <c r="D51">
        <v>416</v>
      </c>
      <c r="E51">
        <v>421</v>
      </c>
      <c r="F51">
        <v>2000</v>
      </c>
      <c r="G51">
        <v>3500</v>
      </c>
      <c r="H51">
        <v>3500</v>
      </c>
      <c r="I51">
        <v>7000</v>
      </c>
      <c r="J51">
        <v>7000</v>
      </c>
      <c r="K51">
        <v>3500</v>
      </c>
      <c r="L51">
        <v>100</v>
      </c>
      <c r="M51" t="b">
        <v>0</v>
      </c>
      <c r="N51" t="s">
        <v>98</v>
      </c>
    </row>
    <row r="52" spans="1:14">
      <c r="A52" t="s">
        <v>59</v>
      </c>
      <c r="B52">
        <v>51</v>
      </c>
      <c r="C52" t="s">
        <v>99</v>
      </c>
      <c r="D52">
        <v>422</v>
      </c>
      <c r="E52">
        <v>428</v>
      </c>
      <c r="I52">
        <v>4500</v>
      </c>
      <c r="J52">
        <v>4500</v>
      </c>
      <c r="K52">
        <v>4500</v>
      </c>
      <c r="M52" t="b">
        <v>1</v>
      </c>
      <c r="N52" t="s">
        <v>100</v>
      </c>
    </row>
    <row r="53" spans="1:14">
      <c r="A53" t="s">
        <v>59</v>
      </c>
      <c r="B53">
        <v>52</v>
      </c>
      <c r="C53" t="s">
        <v>101</v>
      </c>
      <c r="D53">
        <v>429</v>
      </c>
      <c r="E53">
        <v>434</v>
      </c>
      <c r="F53">
        <v>7500</v>
      </c>
      <c r="G53">
        <v>10000</v>
      </c>
      <c r="I53">
        <v>8362</v>
      </c>
      <c r="J53">
        <v>8362</v>
      </c>
      <c r="K53">
        <v>-1638</v>
      </c>
      <c r="L53">
        <v>-16.399999999999999</v>
      </c>
      <c r="M53" t="b">
        <v>0</v>
      </c>
      <c r="N53" t="e">
        <f>- (AI반도체기반데이터센터고도화선도기술개발) 국산 AI반도체 기반 클라우드 서비스 경쟁력 개선을 위한 데이터 처리 가속 및 메모리 중심 인터페이스 기술, 최적의 클라 우드 서비스 워크로드 분석이 가능한 시뮬레이터 기술개발</f>
        <v>#NAME?</v>
      </c>
    </row>
    <row r="54" spans="1:14">
      <c r="A54" t="s">
        <v>59</v>
      </c>
      <c r="B54">
        <v>53</v>
      </c>
      <c r="C54" t="s">
        <v>102</v>
      </c>
      <c r="D54">
        <v>435</v>
      </c>
      <c r="E54">
        <v>442</v>
      </c>
      <c r="G54">
        <v>36620</v>
      </c>
      <c r="I54">
        <v>60751</v>
      </c>
      <c r="J54">
        <v>60751</v>
      </c>
      <c r="K54">
        <v>24131</v>
      </c>
      <c r="L54">
        <v>65.900000000000006</v>
      </c>
      <c r="M54" t="b">
        <v>0</v>
      </c>
      <c r="N54" t="s">
        <v>103</v>
      </c>
    </row>
    <row r="55" spans="1:14">
      <c r="A55" t="s">
        <v>59</v>
      </c>
      <c r="B55">
        <v>54</v>
      </c>
      <c r="C55" t="s">
        <v>104</v>
      </c>
      <c r="D55">
        <v>443</v>
      </c>
      <c r="E55">
        <v>449</v>
      </c>
      <c r="F55">
        <v>8250</v>
      </c>
      <c r="G55">
        <v>8250</v>
      </c>
      <c r="H55">
        <v>8250</v>
      </c>
      <c r="I55">
        <v>7342</v>
      </c>
      <c r="J55">
        <v>7342</v>
      </c>
      <c r="K55">
        <v>-908</v>
      </c>
      <c r="L55">
        <v>-11</v>
      </c>
      <c r="M55" t="b">
        <v>0</v>
      </c>
      <c r="N55" t="e">
        <f>- (AI반도체첨단이종집적기술개발사업) AI반도체 성능 극대화 및 팹리스-파운드리-패키징으로 이어지는 반도체 선순환 생태계 구축을 위한 반도체 이종집적 핵심기술개발</f>
        <v>#NAME?</v>
      </c>
    </row>
    <row r="56" spans="1:14">
      <c r="A56" t="s">
        <v>59</v>
      </c>
      <c r="B56">
        <v>55</v>
      </c>
      <c r="C56" t="s">
        <v>105</v>
      </c>
      <c r="D56">
        <v>450</v>
      </c>
      <c r="E56">
        <v>463</v>
      </c>
      <c r="F56">
        <v>87823</v>
      </c>
      <c r="G56">
        <v>76664</v>
      </c>
      <c r="H56">
        <v>76664</v>
      </c>
      <c r="I56">
        <v>21855</v>
      </c>
      <c r="J56">
        <v>21855</v>
      </c>
      <c r="K56">
        <v>-54809</v>
      </c>
      <c r="L56">
        <v>-71.400000000000006</v>
      </c>
      <c r="M56" t="b">
        <v>0</v>
      </c>
      <c r="N56" t="s">
        <v>106</v>
      </c>
    </row>
    <row r="57" spans="1:14">
      <c r="A57" t="s">
        <v>59</v>
      </c>
      <c r="B57">
        <v>56</v>
      </c>
      <c r="C57" t="s">
        <v>107</v>
      </c>
      <c r="D57">
        <v>464</v>
      </c>
      <c r="E57">
        <v>470</v>
      </c>
      <c r="I57">
        <v>3600</v>
      </c>
      <c r="J57">
        <v>3600</v>
      </c>
      <c r="K57">
        <v>3600</v>
      </c>
      <c r="M57" t="b">
        <v>1</v>
      </c>
      <c r="N57" t="s">
        <v>108</v>
      </c>
    </row>
    <row r="58" spans="1:14">
      <c r="A58" t="s">
        <v>59</v>
      </c>
      <c r="B58">
        <v>57</v>
      </c>
      <c r="C58" t="s">
        <v>109</v>
      </c>
      <c r="D58">
        <v>471</v>
      </c>
      <c r="E58">
        <v>476</v>
      </c>
      <c r="I58">
        <v>5000</v>
      </c>
      <c r="J58">
        <v>5000</v>
      </c>
      <c r="K58">
        <v>5000</v>
      </c>
      <c r="M58" t="b">
        <v>1</v>
      </c>
      <c r="N58" t="e">
        <f>- (사업목적) AI선박용 특화 플랫폼과 애플리케이션 구축 및 실증으로 조선·해운 산업의 디지털 전환 촉진과 글로벌 초격차 경쟁력 확보 - (사업내용) AI기반의 선박 중앙집중형 소프트웨어 플랫폼 및 통합 제어·운영 환경을 구축하고, AX솔루션 실 선박 실증을 통한 조선·해운 산업 확산 기반 마련</f>
        <v>#NAME?</v>
      </c>
    </row>
    <row r="59" spans="1:14">
      <c r="A59" t="s">
        <v>59</v>
      </c>
      <c r="B59">
        <v>58</v>
      </c>
      <c r="C59" t="s">
        <v>110</v>
      </c>
      <c r="D59">
        <v>477</v>
      </c>
      <c r="E59">
        <v>483</v>
      </c>
      <c r="G59">
        <v>9000</v>
      </c>
      <c r="I59">
        <v>16000</v>
      </c>
      <c r="J59">
        <v>16000</v>
      </c>
      <c r="K59">
        <v>7000</v>
      </c>
      <c r="L59">
        <v>77.8</v>
      </c>
      <c r="M59" t="b">
        <v>0</v>
      </c>
      <c r="N59" t="e">
        <f>- (AI연구용 컴퓨팅 지원 프로젝트) AI 및 AI활용 연구를 지원하기 위한 AI 컴퓨팅 자원 제공 및 AI 컴퓨팅 자원의 신속 활용 촉진</f>
        <v>#NAME?</v>
      </c>
    </row>
    <row r="60" spans="1:14">
      <c r="A60" t="s">
        <v>59</v>
      </c>
      <c r="B60">
        <v>59</v>
      </c>
      <c r="C60" t="s">
        <v>111</v>
      </c>
      <c r="D60">
        <v>484</v>
      </c>
      <c r="E60">
        <v>490</v>
      </c>
      <c r="F60">
        <v>9350</v>
      </c>
      <c r="G60">
        <v>7200</v>
      </c>
      <c r="H60">
        <v>7200</v>
      </c>
      <c r="I60">
        <v>4207</v>
      </c>
      <c r="J60">
        <v>4207</v>
      </c>
      <c r="K60">
        <v>-2993</v>
      </c>
      <c r="L60">
        <v>-41.6</v>
      </c>
      <c r="M60" t="b">
        <v>0</v>
      </c>
      <c r="N60" t="s">
        <v>112</v>
      </c>
    </row>
    <row r="61" spans="1:14">
      <c r="A61" t="s">
        <v>59</v>
      </c>
      <c r="B61">
        <v>60</v>
      </c>
      <c r="C61" t="s">
        <v>113</v>
      </c>
      <c r="D61">
        <v>491</v>
      </c>
      <c r="E61">
        <v>498</v>
      </c>
      <c r="I61">
        <v>60000</v>
      </c>
      <c r="J61">
        <v>40500</v>
      </c>
      <c r="K61">
        <v>40500</v>
      </c>
      <c r="M61" t="b">
        <v>1</v>
      </c>
      <c r="N61" t="e">
        <f>- (AI 기반 엔드프로덕트 상용화 지원) 생활, 안전 등 일상의 AX 전환을 위해 AI 모델 개발기업, 엔드프로덕트 제조기업 등을 대상으로 AX 제품‧서비스 개발‧실증 지원 - (AI 기반 차세대 정보통신 제품 상용화 지원) 가정, 직장, 학교 등 국민의 다양한 일상에서 직·간접적으로 접할 수 있는 네트워크 디바이스 및 서비스의 AI 전면 확산을 위해 국민이 체감할 수 있는 품질향상 등 네트워크·통신 분야 제품‧서비스 개발‧실증 지원 - (AI 기반 차세대 보안 제품 상용화 지원) 지속 확산하는 국민 생활 밀접 분야의 보안 위협에 대응하기 위한 차세대 AI 기반 보안 제품·플랫폼 개발 및 실증</f>
        <v>#NAME?</v>
      </c>
    </row>
    <row r="62" spans="1:14">
      <c r="A62" t="s">
        <v>59</v>
      </c>
      <c r="B62">
        <v>61</v>
      </c>
      <c r="C62" t="s">
        <v>114</v>
      </c>
      <c r="D62">
        <v>499</v>
      </c>
      <c r="E62">
        <v>506</v>
      </c>
      <c r="F62">
        <v>38300</v>
      </c>
      <c r="G62">
        <v>30870</v>
      </c>
      <c r="H62">
        <v>30870</v>
      </c>
      <c r="I62">
        <v>8296</v>
      </c>
      <c r="J62">
        <v>8296</v>
      </c>
      <c r="K62">
        <v>-22574</v>
      </c>
      <c r="L62">
        <v>-73.099999999999994</v>
      </c>
      <c r="M62" t="b">
        <v>0</v>
      </c>
      <c r="N62" t="s">
        <v>115</v>
      </c>
    </row>
    <row r="63" spans="1:14">
      <c r="A63" t="s">
        <v>59</v>
      </c>
      <c r="B63">
        <v>62</v>
      </c>
      <c r="C63" t="s">
        <v>116</v>
      </c>
      <c r="D63">
        <v>507</v>
      </c>
      <c r="E63">
        <v>513</v>
      </c>
      <c r="F63">
        <v>19838</v>
      </c>
      <c r="G63">
        <v>17825</v>
      </c>
      <c r="H63">
        <v>17825</v>
      </c>
      <c r="I63">
        <v>11950</v>
      </c>
      <c r="J63">
        <v>12650</v>
      </c>
      <c r="K63">
        <v>-5175</v>
      </c>
      <c r="L63">
        <v>-29</v>
      </c>
      <c r="M63" t="b">
        <v>0</v>
      </c>
      <c r="N63" t="s">
        <v>117</v>
      </c>
    </row>
    <row r="64" spans="1:14">
      <c r="A64" t="s">
        <v>59</v>
      </c>
      <c r="B64">
        <v>63</v>
      </c>
      <c r="C64" t="s">
        <v>118</v>
      </c>
      <c r="D64">
        <v>514</v>
      </c>
      <c r="E64">
        <v>519</v>
      </c>
      <c r="G64">
        <v>6000</v>
      </c>
      <c r="H64">
        <v>9000</v>
      </c>
      <c r="I64">
        <v>34000</v>
      </c>
      <c r="J64">
        <v>34000</v>
      </c>
      <c r="K64">
        <v>28000</v>
      </c>
      <c r="L64">
        <v>466</v>
      </c>
      <c r="M64" t="b">
        <v>0</v>
      </c>
      <c r="N64" t="e">
        <f ca="1">- (AI최고급신진연구자지원) AI 융합 분야 산학협력 연구 기반 창의･도전적 연구 지원을 통해 미래 AI 기술 혁신을 이끄는 최고(Global Top-tier) 수준의 AI 인재 양성</f>
        <v>#NAME?</v>
      </c>
    </row>
    <row r="65" spans="1:14">
      <c r="A65" t="s">
        <v>59</v>
      </c>
      <c r="B65">
        <v>64</v>
      </c>
      <c r="C65" t="s">
        <v>119</v>
      </c>
      <c r="D65">
        <v>520</v>
      </c>
      <c r="E65">
        <v>526</v>
      </c>
      <c r="H65">
        <v>1619438</v>
      </c>
      <c r="I65">
        <v>2108725</v>
      </c>
      <c r="J65">
        <v>2108725</v>
      </c>
      <c r="K65">
        <v>2108725</v>
      </c>
      <c r="L65">
        <v>30.2</v>
      </c>
      <c r="M65" t="b">
        <v>1</v>
      </c>
      <c r="N65" t="s">
        <v>120</v>
      </c>
    </row>
    <row r="66" spans="1:14">
      <c r="A66" t="s">
        <v>59</v>
      </c>
      <c r="B66">
        <v>65</v>
      </c>
      <c r="C66" t="s">
        <v>121</v>
      </c>
      <c r="D66">
        <v>527</v>
      </c>
      <c r="E66">
        <v>532</v>
      </c>
      <c r="I66">
        <v>6000</v>
      </c>
      <c r="J66">
        <v>6000</v>
      </c>
      <c r="K66">
        <v>6000</v>
      </c>
      <c r="M66" t="b">
        <v>1</v>
      </c>
      <c r="N66" t="s">
        <v>122</v>
      </c>
    </row>
    <row r="67" spans="1:14">
      <c r="A67" t="s">
        <v>59</v>
      </c>
      <c r="B67">
        <v>66</v>
      </c>
      <c r="C67" t="s">
        <v>123</v>
      </c>
      <c r="D67">
        <v>533</v>
      </c>
      <c r="E67">
        <v>546</v>
      </c>
      <c r="I67">
        <v>80425</v>
      </c>
      <c r="J67">
        <v>80425</v>
      </c>
      <c r="K67">
        <v>80425</v>
      </c>
      <c r="M67" t="b">
        <v>1</v>
      </c>
      <c r="N67" t="s">
        <v>124</v>
      </c>
    </row>
    <row r="68" spans="1:14">
      <c r="A68" t="s">
        <v>59</v>
      </c>
      <c r="B68">
        <v>67</v>
      </c>
      <c r="C68" t="s">
        <v>125</v>
      </c>
      <c r="D68">
        <v>547</v>
      </c>
      <c r="E68">
        <v>552</v>
      </c>
      <c r="I68">
        <v>5000</v>
      </c>
      <c r="J68">
        <v>5000</v>
      </c>
      <c r="K68">
        <v>5000</v>
      </c>
      <c r="M68" t="b">
        <v>1</v>
      </c>
      <c r="N68" t="s">
        <v>126</v>
      </c>
    </row>
    <row r="69" spans="1:14">
      <c r="A69" t="s">
        <v>59</v>
      </c>
      <c r="B69">
        <v>68</v>
      </c>
      <c r="C69" t="s">
        <v>127</v>
      </c>
      <c r="D69">
        <v>553</v>
      </c>
      <c r="E69">
        <v>558</v>
      </c>
      <c r="I69">
        <v>76</v>
      </c>
      <c r="J69">
        <v>76</v>
      </c>
      <c r="K69">
        <v>76</v>
      </c>
      <c r="L69">
        <v>100</v>
      </c>
      <c r="M69" t="b">
        <v>1</v>
      </c>
      <c r="N69" t="s">
        <v>128</v>
      </c>
    </row>
    <row r="70" spans="1:14">
      <c r="A70" t="s">
        <v>59</v>
      </c>
      <c r="B70">
        <v>69</v>
      </c>
      <c r="C70" t="s">
        <v>129</v>
      </c>
      <c r="D70">
        <v>559</v>
      </c>
      <c r="E70">
        <v>564</v>
      </c>
      <c r="I70">
        <v>7500</v>
      </c>
      <c r="J70">
        <v>7500</v>
      </c>
      <c r="K70">
        <v>7500</v>
      </c>
      <c r="M70" t="b">
        <v>1</v>
      </c>
      <c r="N70" t="s">
        <v>130</v>
      </c>
    </row>
    <row r="71" spans="1:14">
      <c r="A71" t="s">
        <v>59</v>
      </c>
      <c r="B71">
        <v>70</v>
      </c>
      <c r="C71" t="s">
        <v>131</v>
      </c>
      <c r="D71">
        <v>565</v>
      </c>
      <c r="E71">
        <v>570</v>
      </c>
      <c r="I71">
        <v>16967</v>
      </c>
      <c r="J71">
        <v>22623</v>
      </c>
      <c r="K71">
        <v>22623</v>
      </c>
      <c r="M71" t="b">
        <v>1</v>
      </c>
      <c r="N71" t="s">
        <v>132</v>
      </c>
    </row>
    <row r="72" spans="1:14">
      <c r="A72" t="s">
        <v>59</v>
      </c>
      <c r="B72">
        <v>71</v>
      </c>
      <c r="C72" t="s">
        <v>133</v>
      </c>
      <c r="D72">
        <v>571</v>
      </c>
      <c r="E72">
        <v>577</v>
      </c>
      <c r="I72">
        <v>6900</v>
      </c>
      <c r="J72">
        <v>6900</v>
      </c>
      <c r="K72">
        <v>6900</v>
      </c>
      <c r="M72" t="b">
        <v>1</v>
      </c>
      <c r="N72" t="s">
        <v>134</v>
      </c>
    </row>
    <row r="73" spans="1:14">
      <c r="A73" t="s">
        <v>59</v>
      </c>
      <c r="B73">
        <v>72</v>
      </c>
      <c r="C73" t="s">
        <v>135</v>
      </c>
      <c r="D73">
        <v>578</v>
      </c>
      <c r="E73">
        <v>588</v>
      </c>
      <c r="I73">
        <v>5625</v>
      </c>
      <c r="J73">
        <v>5625</v>
      </c>
      <c r="K73">
        <v>5625</v>
      </c>
      <c r="M73" t="b">
        <v>1</v>
      </c>
      <c r="N73" t="s">
        <v>136</v>
      </c>
    </row>
    <row r="74" spans="1:14">
      <c r="A74" t="s">
        <v>59</v>
      </c>
      <c r="B74">
        <v>73</v>
      </c>
      <c r="C74" t="s">
        <v>137</v>
      </c>
      <c r="D74">
        <v>589</v>
      </c>
      <c r="E74">
        <v>595</v>
      </c>
      <c r="G74">
        <v>2000</v>
      </c>
      <c r="I74">
        <v>4000</v>
      </c>
      <c r="J74">
        <v>4000</v>
      </c>
      <c r="K74">
        <v>2000</v>
      </c>
      <c r="L74">
        <v>100</v>
      </c>
      <c r="M74" t="b">
        <v>0</v>
      </c>
      <c r="N74" t="e">
        <f>- (ICT융합 지능 디바이스 개발 활성화 및 확산 기반구축) 차세대 디지털 환경에서의 신서비스 활성화를 위한 ICT융합 지능 온디바이스의 개발지원과 시험ㆍ인증 인프라 구축을 통한 산업 경쟁력 강화</f>
        <v>#NAME?</v>
      </c>
    </row>
    <row r="75" spans="1:14">
      <c r="A75" t="s">
        <v>59</v>
      </c>
      <c r="B75">
        <v>74</v>
      </c>
      <c r="C75" t="s">
        <v>138</v>
      </c>
      <c r="D75">
        <v>596</v>
      </c>
      <c r="E75">
        <v>600</v>
      </c>
      <c r="J75">
        <v>2500</v>
      </c>
      <c r="K75">
        <v>2500</v>
      </c>
      <c r="M75" t="b">
        <v>1</v>
      </c>
      <c r="N75" t="e">
        <f ca="1">- AI워크로드(학습·추론 등) 지원에 필수적인 AI 네트워크의 국산화·상용화 실증으로 국내 AI 네트워크의 기술 경쟁력 강화</f>
        <v>#NAME?</v>
      </c>
    </row>
    <row r="76" spans="1:14">
      <c r="A76" t="s">
        <v>59</v>
      </c>
      <c r="B76">
        <v>75</v>
      </c>
      <c r="C76" t="s">
        <v>139</v>
      </c>
      <c r="D76">
        <v>601</v>
      </c>
      <c r="E76">
        <v>610</v>
      </c>
      <c r="F76">
        <v>11000</v>
      </c>
      <c r="G76">
        <v>9900</v>
      </c>
      <c r="H76">
        <v>9900</v>
      </c>
      <c r="I76">
        <v>3600</v>
      </c>
      <c r="J76">
        <v>6600</v>
      </c>
      <c r="K76">
        <v>-3300</v>
      </c>
      <c r="L76">
        <v>33.299999999999997</v>
      </c>
      <c r="M76" t="b">
        <v>0</v>
      </c>
      <c r="N76" t="s">
        <v>140</v>
      </c>
    </row>
    <row r="77" spans="1:14">
      <c r="A77" t="s">
        <v>59</v>
      </c>
      <c r="B77">
        <v>76</v>
      </c>
      <c r="C77" t="s">
        <v>141</v>
      </c>
      <c r="D77">
        <v>611</v>
      </c>
      <c r="E77">
        <v>618</v>
      </c>
      <c r="F77">
        <v>27767</v>
      </c>
      <c r="G77">
        <v>41458</v>
      </c>
      <c r="I77">
        <v>27014</v>
      </c>
      <c r="J77">
        <v>27014</v>
      </c>
      <c r="K77">
        <v>-14444</v>
      </c>
      <c r="L77">
        <v>-34.799999999999997</v>
      </c>
      <c r="M77" t="b">
        <v>0</v>
      </c>
      <c r="N77" t="s">
        <v>142</v>
      </c>
    </row>
    <row r="78" spans="1:14">
      <c r="A78" t="s">
        <v>59</v>
      </c>
      <c r="B78">
        <v>77</v>
      </c>
      <c r="C78" t="s">
        <v>143</v>
      </c>
      <c r="D78">
        <v>619</v>
      </c>
      <c r="E78">
        <v>628</v>
      </c>
      <c r="F78">
        <v>111814</v>
      </c>
      <c r="G78">
        <v>94695</v>
      </c>
      <c r="H78">
        <v>94695</v>
      </c>
      <c r="I78">
        <v>77201</v>
      </c>
      <c r="J78">
        <v>77201</v>
      </c>
      <c r="K78">
        <v>-17494</v>
      </c>
      <c r="L78">
        <v>-18.5</v>
      </c>
      <c r="M78" t="b">
        <v>0</v>
      </c>
      <c r="N78" t="s">
        <v>144</v>
      </c>
    </row>
    <row r="79" spans="1:14">
      <c r="A79" t="s">
        <v>59</v>
      </c>
      <c r="B79">
        <v>78</v>
      </c>
      <c r="C79" t="s">
        <v>145</v>
      </c>
      <c r="D79">
        <v>629</v>
      </c>
      <c r="E79">
        <v>636</v>
      </c>
      <c r="H79">
        <v>30000</v>
      </c>
      <c r="I79">
        <v>30000</v>
      </c>
      <c r="J79">
        <v>30000</v>
      </c>
      <c r="K79">
        <v>30000</v>
      </c>
      <c r="M79" t="b">
        <v>1</v>
      </c>
      <c r="N79" t="s">
        <v>146</v>
      </c>
    </row>
    <row r="80" spans="1:14">
      <c r="A80" t="s">
        <v>59</v>
      </c>
      <c r="B80">
        <v>79</v>
      </c>
      <c r="C80" t="s">
        <v>147</v>
      </c>
      <c r="D80">
        <v>637</v>
      </c>
      <c r="E80">
        <v>641</v>
      </c>
      <c r="I80">
        <v>5063</v>
      </c>
      <c r="J80">
        <v>5063</v>
      </c>
      <c r="K80">
        <v>5063</v>
      </c>
      <c r="M80" t="b">
        <v>1</v>
      </c>
      <c r="N80" t="e">
        <f>- (가상융합기반피지컬AI핵심기술개발) 정밀동작, 극한 환경 등에서 작동하는 피지컬 AI의 가상공간 정밀 인식을 위한 학습용 합성데이터를 생성하고 가상공간과 현실의 오차 교정을 위한 데이터 유효성 평가 및 최적화의 핵심원천 기술개발</f>
        <v>#NAME?</v>
      </c>
    </row>
    <row r="81" spans="1:14">
      <c r="A81" t="s">
        <v>59</v>
      </c>
      <c r="B81">
        <v>80</v>
      </c>
      <c r="C81" t="s">
        <v>148</v>
      </c>
      <c r="D81">
        <v>642</v>
      </c>
      <c r="E81">
        <v>648</v>
      </c>
      <c r="I81">
        <v>10000</v>
      </c>
      <c r="J81">
        <v>10000</v>
      </c>
      <c r="K81">
        <v>10000</v>
      </c>
      <c r="M81" t="b">
        <v>1</v>
      </c>
      <c r="N81" t="e">
        <f ca="1">- AI 기술 고도화 및 AX 확산에 대비하여 인간과 AI-디지털 간 자연스러운 상호작용을 가능케 하는 핵심기술 확보 ㆍ(인간친화상호작용핵심기술개발) AI 환경에서 인간의 인지 반응에 따른 생체신호 변화를 해석·추론하여 감정과 감성에 대한 인간 친화적인 인터페이스/인터랙션 핵심기술개발 ㆍ(지능형콘텐츠기술개발) AI 내재화로 환경과 상황에 따라 자율 변형하는 콘텐츠를 사용자가쉽게 이해할 수 있도록 판단과 변형에 대해 설명이 가능하게 구조화하는 지능형 콘텐츠기술개발</f>
        <v>#NAME?</v>
      </c>
    </row>
    <row r="82" spans="1:14">
      <c r="A82" t="s">
        <v>59</v>
      </c>
      <c r="B82">
        <v>81</v>
      </c>
      <c r="C82" t="s">
        <v>149</v>
      </c>
      <c r="D82">
        <v>649</v>
      </c>
      <c r="E82">
        <v>655</v>
      </c>
      <c r="I82">
        <v>2000</v>
      </c>
      <c r="J82">
        <v>2000</v>
      </c>
      <c r="K82">
        <v>2000</v>
      </c>
      <c r="M82" t="b">
        <v>1</v>
      </c>
      <c r="N82" t="s">
        <v>150</v>
      </c>
    </row>
    <row r="83" spans="1:14">
      <c r="A83" t="s">
        <v>59</v>
      </c>
      <c r="B83">
        <v>82</v>
      </c>
      <c r="C83" t="s">
        <v>151</v>
      </c>
      <c r="D83">
        <v>656</v>
      </c>
      <c r="E83">
        <v>662</v>
      </c>
      <c r="F83">
        <v>5330</v>
      </c>
      <c r="G83">
        <v>5330</v>
      </c>
      <c r="I83">
        <v>4800</v>
      </c>
      <c r="J83">
        <v>4800</v>
      </c>
      <c r="K83">
        <v>-530</v>
      </c>
      <c r="L83">
        <v>-9.9</v>
      </c>
      <c r="M83" t="b">
        <v>0</v>
      </c>
      <c r="N83" t="e">
        <f ca="1">- (거대인공신경망인공지능반도체SW기술개발) 국내 기술의 인공지능반도체(PIM, NPU) 기반의 초거대인공지능 서비스 구현을 위한 거대인공신경망 처리 인공지능반도체 SW 기술개발</f>
        <v>#NAME?</v>
      </c>
    </row>
    <row r="84" spans="1:14">
      <c r="A84" t="s">
        <v>59</v>
      </c>
      <c r="B84">
        <v>83</v>
      </c>
      <c r="C84" t="s">
        <v>152</v>
      </c>
      <c r="D84">
        <v>663</v>
      </c>
      <c r="E84">
        <v>672</v>
      </c>
      <c r="F84">
        <v>4883</v>
      </c>
      <c r="G84">
        <v>4194</v>
      </c>
      <c r="I84">
        <v>10157</v>
      </c>
      <c r="J84">
        <v>10157</v>
      </c>
      <c r="K84">
        <v>5963</v>
      </c>
      <c r="L84">
        <v>142.19999999999999</v>
      </c>
      <c r="M84" t="b">
        <v>0</v>
      </c>
      <c r="N84" t="s">
        <v>153</v>
      </c>
    </row>
    <row r="85" spans="1:14">
      <c r="A85" t="s">
        <v>59</v>
      </c>
      <c r="B85">
        <v>84</v>
      </c>
      <c r="C85" t="s">
        <v>154</v>
      </c>
      <c r="D85">
        <v>673</v>
      </c>
      <c r="E85">
        <v>678</v>
      </c>
      <c r="I85">
        <v>9000</v>
      </c>
      <c r="J85">
        <v>9000</v>
      </c>
      <c r="K85">
        <v>9000</v>
      </c>
      <c r="M85" t="b">
        <v>1</v>
      </c>
      <c r="N85" t="e">
        <f>- (경량·저전력AI한계극복기술개발) AI 모델 거대화에 따른 고비용·저효율 등 문제 해결과 엣지·온디바이스 AI 뒷받침 위한 AI 알고리즘의 획기적 개선, 확장 또는 대체 가능한 한계극복 기술개발</f>
        <v>#NAME?</v>
      </c>
    </row>
    <row r="86" spans="1:14">
      <c r="A86" t="s">
        <v>59</v>
      </c>
      <c r="B86">
        <v>85</v>
      </c>
      <c r="C86" t="s">
        <v>155</v>
      </c>
      <c r="D86">
        <v>679</v>
      </c>
      <c r="E86">
        <v>684</v>
      </c>
      <c r="I86">
        <v>13000</v>
      </c>
      <c r="J86">
        <v>13000</v>
      </c>
      <c r="K86">
        <v>13000</v>
      </c>
      <c r="M86" t="b">
        <v>1</v>
      </c>
      <c r="N86" t="e">
        <f>- (경쟁형 AI 혁신인재 성장 지원) 경쟁 방식을 통해 AI 혁신인재들이 자유롭게 팀을 구성하여 AI 분야 혁신·제품·서비스를 도전적으로 연구할 수 있도록 지원 - (인공지능 챔피언 프로젝트) AI 인재가 겨루는 도전·경쟁형 AI 비R&amp;D를 통해 산 업 기술 수요에 기반한 AI 혁신 제품·서비스 확보 및 국민적 AI 관심도 제고 - (인공지능 활용 루키 프로젝트) 스스로 문제를 정의하고 문제해결을 위해 산업 분야에 AI 기술을 활용·적용·응용할 수 있는 학부 대상 AI활용 고급인재 발굴 및 성장 지원</f>
        <v>#NAME?</v>
      </c>
    </row>
    <row r="87" spans="1:14">
      <c r="A87" t="s">
        <v>59</v>
      </c>
      <c r="B87">
        <v>86</v>
      </c>
      <c r="C87" t="s">
        <v>156</v>
      </c>
      <c r="D87">
        <v>685</v>
      </c>
      <c r="E87">
        <v>689</v>
      </c>
      <c r="I87">
        <v>8300</v>
      </c>
      <c r="J87">
        <v>8300</v>
      </c>
      <c r="K87">
        <v>8300</v>
      </c>
      <c r="M87" t="b">
        <v>1</v>
      </c>
      <c r="N87" t="s">
        <v>157</v>
      </c>
    </row>
    <row r="88" spans="1:14">
      <c r="A88" t="s">
        <v>59</v>
      </c>
      <c r="B88">
        <v>87</v>
      </c>
      <c r="C88" t="s">
        <v>158</v>
      </c>
      <c r="D88">
        <v>690</v>
      </c>
      <c r="E88">
        <v>696</v>
      </c>
      <c r="G88">
        <v>15000</v>
      </c>
      <c r="H88">
        <v>15000</v>
      </c>
      <c r="I88">
        <v>60000</v>
      </c>
      <c r="J88">
        <v>60000</v>
      </c>
      <c r="K88">
        <v>45000</v>
      </c>
      <c r="L88">
        <v>300</v>
      </c>
      <c r="M88" t="b">
        <v>0</v>
      </c>
      <c r="N88" t="e">
        <f ca="1">- (공공AX프로젝트) 공공부문에 AI를 선도적으로 접목함으로써 공공서비스를 혁신하고, 공공분야의 AI 대전환(AX) 가속화 및 AI 산업 육성 촉진</f>
        <v>#NAME?</v>
      </c>
    </row>
    <row r="89" spans="1:14">
      <c r="A89" t="s">
        <v>59</v>
      </c>
      <c r="B89">
        <v>88</v>
      </c>
      <c r="C89" t="s">
        <v>159</v>
      </c>
      <c r="D89">
        <v>697</v>
      </c>
      <c r="E89">
        <v>717</v>
      </c>
      <c r="F89">
        <v>7047</v>
      </c>
      <c r="G89">
        <v>11324</v>
      </c>
      <c r="H89">
        <v>11324</v>
      </c>
      <c r="I89">
        <v>11054</v>
      </c>
      <c r="J89">
        <v>9804</v>
      </c>
      <c r="K89">
        <v>-1520</v>
      </c>
      <c r="L89">
        <v>-13.4</v>
      </c>
      <c r="M89" t="b">
        <v>0</v>
      </c>
      <c r="N89" t="s">
        <v>160</v>
      </c>
    </row>
    <row r="90" spans="1:14">
      <c r="A90" t="s">
        <v>59</v>
      </c>
      <c r="B90">
        <v>89</v>
      </c>
      <c r="C90" t="s">
        <v>161</v>
      </c>
      <c r="D90">
        <v>718</v>
      </c>
      <c r="E90">
        <v>723</v>
      </c>
      <c r="G90">
        <v>7950</v>
      </c>
      <c r="H90">
        <v>7950</v>
      </c>
      <c r="I90">
        <v>7950</v>
      </c>
      <c r="J90">
        <v>7950</v>
      </c>
      <c r="M90" t="b">
        <v>0</v>
      </c>
      <c r="N90" t="e">
        <f>- (공존가능한 신뢰 AI를 위한 AI Safety 기술개발) 지속가능한 AI 혁신의 전제는 ‘AI Safety’ 확보로, 고성능‧다양성‧자율성을 갖춘 첨단 AI의 실존‧잠재위험을 완화‧ 제거하기 위한 핵심기술 개발</f>
        <v>#NAME?</v>
      </c>
    </row>
    <row r="91" spans="1:14">
      <c r="A91" t="s">
        <v>59</v>
      </c>
      <c r="B91">
        <v>90</v>
      </c>
      <c r="C91" t="s">
        <v>162</v>
      </c>
      <c r="D91">
        <v>724</v>
      </c>
      <c r="E91">
        <v>742</v>
      </c>
      <c r="F91">
        <v>52120</v>
      </c>
      <c r="G91">
        <v>59850</v>
      </c>
      <c r="H91">
        <v>59850</v>
      </c>
      <c r="I91">
        <v>76881</v>
      </c>
      <c r="J91">
        <v>76881</v>
      </c>
      <c r="K91">
        <v>17031</v>
      </c>
      <c r="L91">
        <v>28.4</v>
      </c>
      <c r="M91" t="b">
        <v>0</v>
      </c>
      <c r="N91" t="s">
        <v>163</v>
      </c>
    </row>
    <row r="92" spans="1:14">
      <c r="A92" t="s">
        <v>59</v>
      </c>
      <c r="B92">
        <v>91</v>
      </c>
      <c r="C92" t="s">
        <v>164</v>
      </c>
      <c r="D92">
        <v>743</v>
      </c>
      <c r="E92">
        <v>748</v>
      </c>
      <c r="F92">
        <v>9720</v>
      </c>
      <c r="G92">
        <v>8751</v>
      </c>
      <c r="H92">
        <v>8751</v>
      </c>
      <c r="I92">
        <v>9139</v>
      </c>
      <c r="J92">
        <v>8936</v>
      </c>
      <c r="K92">
        <v>185</v>
      </c>
      <c r="L92">
        <v>2.1</v>
      </c>
      <c r="M92" t="b">
        <v>0</v>
      </c>
      <c r="N92" t="s">
        <v>165</v>
      </c>
    </row>
    <row r="93" spans="1:14">
      <c r="A93" t="s">
        <v>59</v>
      </c>
      <c r="B93">
        <v>92</v>
      </c>
      <c r="C93" t="s">
        <v>166</v>
      </c>
      <c r="D93">
        <v>749</v>
      </c>
      <c r="E93">
        <v>752</v>
      </c>
      <c r="J93">
        <v>500</v>
      </c>
      <c r="K93">
        <v>500</v>
      </c>
      <c r="M93" t="b">
        <v>1</v>
      </c>
      <c r="N93" t="e">
        <f ca="1">- (광주 AI 실증도시 실현(기본계획 수립 용역비)) 광주 내 기 구축한 AI 인프라와 지역 특화 산업 역량을 바탕으로 도시규모의 규제프리 실증거점 구축 마스터플랜 수립</f>
        <v>#NAME?</v>
      </c>
    </row>
    <row r="94" spans="1:14">
      <c r="A94" t="s">
        <v>59</v>
      </c>
      <c r="B94">
        <v>93</v>
      </c>
      <c r="C94" t="s">
        <v>167</v>
      </c>
      <c r="D94">
        <v>753</v>
      </c>
      <c r="E94">
        <v>761</v>
      </c>
      <c r="F94">
        <v>93124</v>
      </c>
      <c r="G94">
        <v>97634</v>
      </c>
      <c r="H94">
        <v>101384</v>
      </c>
      <c r="I94">
        <v>117461</v>
      </c>
      <c r="J94">
        <v>120610</v>
      </c>
      <c r="K94">
        <v>22976</v>
      </c>
      <c r="L94">
        <v>23.5</v>
      </c>
      <c r="M94" t="b">
        <v>0</v>
      </c>
      <c r="N94" t="s">
        <v>168</v>
      </c>
    </row>
    <row r="95" spans="1:14">
      <c r="A95" t="s">
        <v>59</v>
      </c>
      <c r="B95">
        <v>94</v>
      </c>
      <c r="C95" t="s">
        <v>169</v>
      </c>
      <c r="D95">
        <v>762</v>
      </c>
      <c r="E95">
        <v>765</v>
      </c>
      <c r="J95">
        <v>19151</v>
      </c>
      <c r="K95">
        <v>19151</v>
      </c>
      <c r="M95" t="b">
        <v>1</v>
      </c>
      <c r="N95" t="e">
        <f>- (국가 AI데이터 센터 고도화 ) 국가 AI 데이터센터 인프라를 기반으로 고성능 GPU 자원 제공 등 AI 기업·기관 대상 GPU 기반 AI 모델 학습·개발 환경 제공</f>
        <v>#NAME?</v>
      </c>
    </row>
    <row r="96" spans="1:14">
      <c r="A96" t="s">
        <v>59</v>
      </c>
      <c r="B96">
        <v>95</v>
      </c>
      <c r="C96" t="s">
        <v>170</v>
      </c>
      <c r="D96">
        <v>766</v>
      </c>
      <c r="E96">
        <v>770</v>
      </c>
      <c r="I96">
        <v>600</v>
      </c>
      <c r="J96">
        <v>600</v>
      </c>
      <c r="K96">
        <v>600</v>
      </c>
      <c r="M96" t="b">
        <v>1</v>
      </c>
      <c r="N96" t="e">
        <f>- 급증하는 AI 추론 서비스 수요 대비 부족한 인프라 보완을 위해, 국산 NPU 성능 검증·서비스 실증을 체계적으로 지원할 수 있는 인프라 마련 - 국산 NPU 기반 추론 전용 데이터센터 구축·운영을 통해 GPU 의존도 완화</f>
        <v>#NAME?</v>
      </c>
    </row>
    <row r="97" spans="1:14">
      <c r="A97" t="s">
        <v>59</v>
      </c>
      <c r="B97">
        <v>96</v>
      </c>
      <c r="C97" t="s">
        <v>171</v>
      </c>
      <c r="D97">
        <v>771</v>
      </c>
      <c r="E97">
        <v>776</v>
      </c>
      <c r="I97">
        <v>7000</v>
      </c>
      <c r="J97">
        <v>7000</v>
      </c>
      <c r="K97">
        <v>7000</v>
      </c>
      <c r="M97" t="b">
        <v>1</v>
      </c>
      <c r="N97" t="s">
        <v>172</v>
      </c>
    </row>
    <row r="98" spans="1:14">
      <c r="A98" t="s">
        <v>59</v>
      </c>
      <c r="B98">
        <v>97</v>
      </c>
      <c r="C98" t="s">
        <v>173</v>
      </c>
      <c r="D98">
        <v>777</v>
      </c>
      <c r="E98">
        <v>784</v>
      </c>
      <c r="F98">
        <v>18183</v>
      </c>
      <c r="G98">
        <v>11194</v>
      </c>
      <c r="H98">
        <v>11194</v>
      </c>
      <c r="I98">
        <v>68431</v>
      </c>
      <c r="J98">
        <v>68431</v>
      </c>
      <c r="K98">
        <v>57237</v>
      </c>
      <c r="L98">
        <v>511.3</v>
      </c>
      <c r="M98" t="b">
        <v>0</v>
      </c>
      <c r="N98" t="s">
        <v>174</v>
      </c>
    </row>
    <row r="99" spans="1:14">
      <c r="A99" t="s">
        <v>59</v>
      </c>
      <c r="B99">
        <v>98</v>
      </c>
      <c r="C99" t="s">
        <v>175</v>
      </c>
      <c r="D99">
        <v>785</v>
      </c>
      <c r="E99">
        <v>792</v>
      </c>
      <c r="F99">
        <v>194792</v>
      </c>
      <c r="G99">
        <v>247439</v>
      </c>
      <c r="H99">
        <v>247439</v>
      </c>
      <c r="I99">
        <v>370614</v>
      </c>
      <c r="J99">
        <v>360849</v>
      </c>
      <c r="K99">
        <v>113410</v>
      </c>
      <c r="L99">
        <v>45.8</v>
      </c>
      <c r="M99" t="b">
        <v>0</v>
      </c>
      <c r="N99" t="s">
        <v>176</v>
      </c>
    </row>
    <row r="100" spans="1:14">
      <c r="A100" t="s">
        <v>59</v>
      </c>
      <c r="B100">
        <v>99</v>
      </c>
      <c r="C100" t="s">
        <v>177</v>
      </c>
      <c r="D100">
        <v>793</v>
      </c>
      <c r="E100">
        <v>798</v>
      </c>
      <c r="F100">
        <v>10668</v>
      </c>
      <c r="G100">
        <v>11369</v>
      </c>
      <c r="H100">
        <v>11369</v>
      </c>
      <c r="I100">
        <v>13216</v>
      </c>
      <c r="J100">
        <v>13216</v>
      </c>
      <c r="K100">
        <v>1847</v>
      </c>
      <c r="L100">
        <v>16.2</v>
      </c>
      <c r="M100" t="b">
        <v>0</v>
      </c>
      <c r="N100" t="e">
        <f ca="1">- (목적) 전문적인 수학연구를 통해 수학분야 국가경쟁력을 확보하고 전문 인력을 양성하며, 수학을 기반으로 과학기술 및 산업과의 연계 강화 - (내용) 과기부 산업수학 육성에 따라 산업수학 핵심 원천기술(의료수학, 기초과학 등) 확보 및 산업‧공공분야 산업문제 해결 등을 통한 국가 산업경쟁력 제고</f>
        <v>#NAME?</v>
      </c>
    </row>
    <row r="101" spans="1:14">
      <c r="A101" t="s">
        <v>59</v>
      </c>
      <c r="B101">
        <v>100</v>
      </c>
      <c r="C101" t="s">
        <v>178</v>
      </c>
      <c r="D101">
        <v>799</v>
      </c>
      <c r="E101">
        <v>806</v>
      </c>
      <c r="F101">
        <v>1947</v>
      </c>
      <c r="G101">
        <v>1534</v>
      </c>
      <c r="H101">
        <v>1534</v>
      </c>
      <c r="I101">
        <v>3300</v>
      </c>
      <c r="J101">
        <v>3300</v>
      </c>
      <c r="K101">
        <v>1766</v>
      </c>
      <c r="L101">
        <v>115.1</v>
      </c>
      <c r="M101" t="b">
        <v>0</v>
      </c>
      <c r="N101" t="s">
        <v>179</v>
      </c>
    </row>
    <row r="102" spans="1:14">
      <c r="A102" t="s">
        <v>59</v>
      </c>
      <c r="B102">
        <v>101</v>
      </c>
      <c r="C102" t="s">
        <v>180</v>
      </c>
      <c r="D102">
        <v>807</v>
      </c>
      <c r="E102">
        <v>814</v>
      </c>
      <c r="G102">
        <v>1000</v>
      </c>
      <c r="H102">
        <v>1000</v>
      </c>
      <c r="I102">
        <v>2926</v>
      </c>
      <c r="J102">
        <v>2926</v>
      </c>
      <c r="K102">
        <v>1926</v>
      </c>
      <c r="L102">
        <v>192.6</v>
      </c>
      <c r="M102" t="b">
        <v>0</v>
      </c>
      <c r="N102" t="e">
        <f>- (국방인공지능핵심기술개발) 고도의 보안성이 요구되는 국방 분야에 신속히 확산 가능 하고 지휘·의사결정 체계의 첨단화·지능화를 위한 국방 인공지능 핵심 기반 기술 확보</f>
        <v>#NAME?</v>
      </c>
    </row>
    <row r="103" spans="1:14">
      <c r="A103" t="s">
        <v>59</v>
      </c>
      <c r="B103">
        <v>102</v>
      </c>
      <c r="C103" t="s">
        <v>181</v>
      </c>
      <c r="D103">
        <v>815</v>
      </c>
      <c r="E103">
        <v>821</v>
      </c>
      <c r="H103">
        <v>3500</v>
      </c>
      <c r="I103">
        <v>7000</v>
      </c>
      <c r="J103">
        <v>7000</v>
      </c>
      <c r="K103">
        <v>3500</v>
      </c>
      <c r="L103">
        <v>100</v>
      </c>
      <c r="M103" t="b">
        <v>1</v>
      </c>
      <c r="N103" t="s">
        <v>182</v>
      </c>
    </row>
    <row r="104" spans="1:14">
      <c r="A104" t="s">
        <v>59</v>
      </c>
      <c r="B104">
        <v>103</v>
      </c>
      <c r="C104" t="s">
        <v>183</v>
      </c>
      <c r="D104">
        <v>822</v>
      </c>
      <c r="E104">
        <v>827</v>
      </c>
      <c r="I104">
        <v>10000</v>
      </c>
      <c r="J104">
        <v>10000</v>
      </c>
      <c r="K104">
        <v>10000</v>
      </c>
      <c r="M104" t="b">
        <v>1</v>
      </c>
      <c r="N104" t="e">
        <f>- (국산 NPU 기반 AI CCTV 전환) 공공 분야의 국산 NPU 수요 창출을 위하여 공공 CCTV의 국산 NPU 기반 AI CCTV 전환·확산 지원 · 기존 CCTV의 AI 전환 및 신규 AI CCTV 구축 수요를 대상으로, 국산 NPU를 활용 하여 능동 감지하는 AI CCTV로 전환 지원</f>
        <v>#NAME?</v>
      </c>
    </row>
    <row r="105" spans="1:14">
      <c r="A105" t="s">
        <v>59</v>
      </c>
      <c r="B105">
        <v>104</v>
      </c>
      <c r="C105" t="s">
        <v>184</v>
      </c>
      <c r="D105">
        <v>828</v>
      </c>
      <c r="E105">
        <v>833</v>
      </c>
      <c r="F105">
        <v>1500</v>
      </c>
      <c r="G105">
        <v>1500</v>
      </c>
      <c r="H105">
        <v>1500</v>
      </c>
      <c r="I105">
        <v>13500</v>
      </c>
      <c r="J105">
        <v>13500</v>
      </c>
      <c r="K105">
        <v>12000</v>
      </c>
      <c r="L105">
        <v>800</v>
      </c>
      <c r="M105" t="b">
        <v>0</v>
      </c>
      <c r="N105" t="e">
        <f>- (글로벌제조융합SW개발및실증) 제조기업이 글로벌 제품공급을 위해 사용 중인 외산 가상시운전SW를 국산화하여 소프트웨어를 활용한 디지털 제조혁신 및 글로벌 진출</f>
        <v>#NAME?</v>
      </c>
    </row>
    <row r="106" spans="1:14">
      <c r="A106" t="s">
        <v>59</v>
      </c>
      <c r="B106">
        <v>105</v>
      </c>
      <c r="C106" t="s">
        <v>185</v>
      </c>
      <c r="D106">
        <v>834</v>
      </c>
      <c r="E106">
        <v>840</v>
      </c>
      <c r="F106">
        <v>223048</v>
      </c>
      <c r="G106">
        <v>300436</v>
      </c>
      <c r="H106">
        <v>300436</v>
      </c>
      <c r="I106">
        <v>330746</v>
      </c>
      <c r="J106">
        <v>330746</v>
      </c>
      <c r="K106">
        <v>30310</v>
      </c>
      <c r="L106">
        <v>10.1</v>
      </c>
      <c r="M106" t="b">
        <v>0</v>
      </c>
      <c r="N106" t="s">
        <v>186</v>
      </c>
    </row>
    <row r="107" spans="1:14">
      <c r="A107" t="s">
        <v>59</v>
      </c>
      <c r="B107">
        <v>106</v>
      </c>
      <c r="C107" t="s">
        <v>187</v>
      </c>
      <c r="D107">
        <v>841</v>
      </c>
      <c r="E107">
        <v>847</v>
      </c>
      <c r="F107">
        <v>16101</v>
      </c>
      <c r="G107">
        <v>14150</v>
      </c>
      <c r="H107">
        <v>14150</v>
      </c>
      <c r="I107">
        <v>10742</v>
      </c>
      <c r="J107">
        <v>11707</v>
      </c>
      <c r="K107">
        <v>-2443</v>
      </c>
      <c r="L107">
        <v>-17.3</v>
      </c>
      <c r="M107" t="b">
        <v>0</v>
      </c>
      <c r="N107" t="s">
        <v>188</v>
      </c>
    </row>
    <row r="108" spans="1:14">
      <c r="A108" t="s">
        <v>59</v>
      </c>
      <c r="B108">
        <v>107</v>
      </c>
      <c r="C108" t="s">
        <v>189</v>
      </c>
      <c r="D108">
        <v>848</v>
      </c>
      <c r="E108">
        <v>856</v>
      </c>
      <c r="F108">
        <v>88701</v>
      </c>
      <c r="G108">
        <v>97697</v>
      </c>
      <c r="H108">
        <v>101447</v>
      </c>
      <c r="I108">
        <v>115367</v>
      </c>
      <c r="J108">
        <v>116367</v>
      </c>
      <c r="K108">
        <v>14920</v>
      </c>
      <c r="L108">
        <v>14.7</v>
      </c>
      <c r="M108" t="b">
        <v>0</v>
      </c>
      <c r="N108" t="s">
        <v>190</v>
      </c>
    </row>
    <row r="109" spans="1:14">
      <c r="A109" t="s">
        <v>59</v>
      </c>
      <c r="B109">
        <v>108</v>
      </c>
      <c r="C109" t="s">
        <v>191</v>
      </c>
      <c r="D109">
        <v>857</v>
      </c>
      <c r="E109">
        <v>866</v>
      </c>
      <c r="F109">
        <v>106241</v>
      </c>
      <c r="G109">
        <v>110186</v>
      </c>
      <c r="H109">
        <v>110186</v>
      </c>
      <c r="I109">
        <v>120310</v>
      </c>
      <c r="J109">
        <v>12031</v>
      </c>
      <c r="K109">
        <v>-98155</v>
      </c>
      <c r="L109">
        <v>-89.1</v>
      </c>
      <c r="M109" t="b">
        <v>0</v>
      </c>
      <c r="N109" t="s">
        <v>192</v>
      </c>
    </row>
    <row r="110" spans="1:14">
      <c r="A110" t="s">
        <v>59</v>
      </c>
      <c r="B110">
        <v>109</v>
      </c>
      <c r="C110" t="s">
        <v>193</v>
      </c>
      <c r="D110">
        <v>867</v>
      </c>
      <c r="E110">
        <v>873</v>
      </c>
      <c r="F110">
        <v>6000</v>
      </c>
      <c r="G110">
        <v>6000</v>
      </c>
      <c r="H110">
        <v>6000</v>
      </c>
      <c r="I110">
        <v>5000</v>
      </c>
      <c r="J110">
        <v>5000</v>
      </c>
      <c r="K110">
        <v>-1000</v>
      </c>
      <c r="L110">
        <v>-16.7</v>
      </c>
      <c r="M110" t="b">
        <v>0</v>
      </c>
      <c r="N110" t="s">
        <v>194</v>
      </c>
    </row>
    <row r="111" spans="1:14">
      <c r="A111" t="s">
        <v>59</v>
      </c>
      <c r="B111">
        <v>110</v>
      </c>
      <c r="C111" t="s">
        <v>195</v>
      </c>
      <c r="D111">
        <v>874</v>
      </c>
      <c r="E111">
        <v>880</v>
      </c>
      <c r="F111">
        <v>2850</v>
      </c>
      <c r="G111">
        <v>2615</v>
      </c>
      <c r="H111">
        <v>2615</v>
      </c>
      <c r="I111">
        <v>1277</v>
      </c>
      <c r="J111">
        <v>1277</v>
      </c>
      <c r="K111">
        <v>-1338</v>
      </c>
      <c r="L111">
        <v>-51.2</v>
      </c>
      <c r="M111" t="b">
        <v>0</v>
      </c>
      <c r="N111" t="s">
        <v>196</v>
      </c>
    </row>
    <row r="112" spans="1:14">
      <c r="A112" t="s">
        <v>59</v>
      </c>
      <c r="B112">
        <v>111</v>
      </c>
      <c r="C112" t="s">
        <v>197</v>
      </c>
      <c r="D112">
        <v>881</v>
      </c>
      <c r="E112">
        <v>891</v>
      </c>
      <c r="F112">
        <v>84615</v>
      </c>
      <c r="G112">
        <v>46714</v>
      </c>
      <c r="H112">
        <v>46714</v>
      </c>
      <c r="I112">
        <v>33511</v>
      </c>
      <c r="J112">
        <v>33511</v>
      </c>
      <c r="K112">
        <v>-13203</v>
      </c>
      <c r="L112">
        <v>-28.3</v>
      </c>
      <c r="M112" t="b">
        <v>0</v>
      </c>
      <c r="N112" t="s">
        <v>198</v>
      </c>
    </row>
    <row r="113" spans="1:14">
      <c r="A113" t="s">
        <v>59</v>
      </c>
      <c r="B113">
        <v>112</v>
      </c>
      <c r="C113" t="s">
        <v>199</v>
      </c>
      <c r="D113">
        <v>892</v>
      </c>
      <c r="E113">
        <v>902</v>
      </c>
      <c r="F113">
        <v>11960</v>
      </c>
      <c r="G113">
        <v>10467</v>
      </c>
      <c r="H113">
        <v>10467</v>
      </c>
      <c r="I113">
        <v>9119</v>
      </c>
      <c r="J113">
        <v>9119</v>
      </c>
      <c r="K113">
        <v>-1348</v>
      </c>
      <c r="L113">
        <v>-12.9</v>
      </c>
      <c r="M113" t="b">
        <v>0</v>
      </c>
      <c r="N113" t="e">
        <f>- (데이터기반산업경쟁력강화) 데이터 수집·가공·활용 기반 강화를 통한 AI·데이터 경제 가속화 등을 위해 ‘데이터 유통·활용 생태계 조성’, ‘데이터 선도 및 활성화 기반 구축’ 등 추진 · (데이터 유통·활용 생태계 조성) 데이터 문제해결은행 운영으로 민간 주도 데이터·AI 활용을 지원하고, 마이데이터 기반 조성, 데이터 안심구역 운영 등 안전하고 신뢰할 수 있는 데이터 이용·활용 환경 조성 · (데이터 선도 및 활성화 기반 구축) 데이터·AI 기반 중소기업·스타트업 중심의 데이터 분석·개발 인프라 및 실습 지원을 통해 데이터 활용을 촉진하고 가명정보 결합전문 기관 기반의 안전한 데이터 이용 환경 조성</f>
        <v>#NAME?</v>
      </c>
    </row>
    <row r="114" spans="1:14">
      <c r="A114" t="s">
        <v>59</v>
      </c>
      <c r="B114">
        <v>113</v>
      </c>
      <c r="C114" t="s">
        <v>200</v>
      </c>
      <c r="D114">
        <v>903</v>
      </c>
      <c r="E114">
        <v>908</v>
      </c>
      <c r="I114">
        <v>7000</v>
      </c>
      <c r="J114">
        <v>7000</v>
      </c>
      <c r="K114">
        <v>7000</v>
      </c>
      <c r="M114" t="b">
        <v>1</v>
      </c>
      <c r="N114" t="s">
        <v>201</v>
      </c>
    </row>
    <row r="115" spans="1:14">
      <c r="A115" t="s">
        <v>59</v>
      </c>
      <c r="B115">
        <v>114</v>
      </c>
      <c r="C115" t="s">
        <v>202</v>
      </c>
      <c r="D115">
        <v>909</v>
      </c>
      <c r="E115">
        <v>915</v>
      </c>
      <c r="F115">
        <v>13622</v>
      </c>
      <c r="G115">
        <v>14828</v>
      </c>
      <c r="H115">
        <v>14828</v>
      </c>
      <c r="I115">
        <v>19921</v>
      </c>
      <c r="J115">
        <v>19921</v>
      </c>
      <c r="K115">
        <v>5093</v>
      </c>
      <c r="L115">
        <v>34.299999999999997</v>
      </c>
      <c r="M115" t="b">
        <v>0</v>
      </c>
      <c r="N115" t="s">
        <v>203</v>
      </c>
    </row>
    <row r="116" spans="1:14">
      <c r="A116" t="s">
        <v>59</v>
      </c>
      <c r="B116">
        <v>115</v>
      </c>
      <c r="C116" t="s">
        <v>204</v>
      </c>
      <c r="D116">
        <v>916</v>
      </c>
      <c r="E116">
        <v>921</v>
      </c>
      <c r="I116">
        <v>3000</v>
      </c>
      <c r="J116">
        <v>3000</v>
      </c>
      <c r="K116">
        <v>3000</v>
      </c>
      <c r="M116" t="b">
        <v>1</v>
      </c>
      <c r="N116" t="s">
        <v>205</v>
      </c>
    </row>
    <row r="117" spans="1:14">
      <c r="A117" t="s">
        <v>59</v>
      </c>
      <c r="B117">
        <v>116</v>
      </c>
      <c r="C117" t="s">
        <v>206</v>
      </c>
      <c r="D117">
        <v>922</v>
      </c>
      <c r="E117">
        <v>927</v>
      </c>
      <c r="J117">
        <v>3750</v>
      </c>
      <c r="K117">
        <v>3750</v>
      </c>
      <c r="M117" t="b">
        <v>1</v>
      </c>
      <c r="N117" t="e">
        <f>- 세포내 생물학적, 생화학적 현상을 반영할 수 있는 Digital AI 세포를 구축하여 신약개발에 적용함으로써 신약개발 전주기의 특성을 반영한 고품질의 신약초기 물질을 발굴하여 임상 시험 성공률을 획기적으로 개선하고, Digital AI 세포 성능 및 고도화 전략을 평가하여 세포의 기능 및 분화, 병리 및 질병 진행 연구 등에활용할 수 있는 Digital AI 세포로 진화</f>
        <v>#NAME?</v>
      </c>
    </row>
    <row r="118" spans="1:14">
      <c r="A118" t="s">
        <v>59</v>
      </c>
      <c r="B118">
        <v>117</v>
      </c>
      <c r="C118" t="s">
        <v>207</v>
      </c>
      <c r="D118">
        <v>928</v>
      </c>
      <c r="E118">
        <v>939</v>
      </c>
      <c r="F118">
        <v>3800</v>
      </c>
      <c r="G118">
        <v>5757</v>
      </c>
      <c r="H118">
        <v>5757</v>
      </c>
      <c r="J118">
        <v>26993</v>
      </c>
      <c r="K118">
        <v>21886</v>
      </c>
      <c r="L118">
        <v>380.2</v>
      </c>
      <c r="M118" t="b">
        <v>0</v>
      </c>
      <c r="N118" t="s">
        <v>208</v>
      </c>
    </row>
    <row r="119" spans="1:14">
      <c r="A119" t="s">
        <v>59</v>
      </c>
      <c r="B119">
        <v>118</v>
      </c>
      <c r="C119" t="s">
        <v>209</v>
      </c>
      <c r="D119">
        <v>940</v>
      </c>
      <c r="E119">
        <v>946</v>
      </c>
      <c r="F119">
        <v>4000</v>
      </c>
      <c r="G119">
        <v>6000</v>
      </c>
      <c r="H119">
        <v>6000</v>
      </c>
      <c r="I119">
        <v>5600</v>
      </c>
      <c r="J119">
        <v>5600</v>
      </c>
      <c r="K119">
        <v>-400</v>
      </c>
      <c r="L119">
        <v>-6.7</v>
      </c>
      <c r="M119" t="b">
        <v>0</v>
      </c>
      <c r="N119" t="s">
        <v>210</v>
      </c>
    </row>
    <row r="120" spans="1:14">
      <c r="A120" t="s">
        <v>59</v>
      </c>
      <c r="B120">
        <v>119</v>
      </c>
      <c r="C120" t="s">
        <v>211</v>
      </c>
      <c r="D120">
        <v>947</v>
      </c>
      <c r="E120">
        <v>952</v>
      </c>
      <c r="I120">
        <v>7240</v>
      </c>
      <c r="J120">
        <v>7240</v>
      </c>
      <c r="K120">
        <v>7240</v>
      </c>
      <c r="M120" t="b">
        <v>1</v>
      </c>
      <c r="N120" t="s">
        <v>212</v>
      </c>
    </row>
    <row r="121" spans="1:14">
      <c r="A121" t="s">
        <v>59</v>
      </c>
      <c r="B121">
        <v>120</v>
      </c>
      <c r="C121" t="s">
        <v>213</v>
      </c>
      <c r="D121">
        <v>953</v>
      </c>
      <c r="E121">
        <v>958</v>
      </c>
      <c r="I121">
        <v>816</v>
      </c>
      <c r="J121">
        <v>816</v>
      </c>
      <c r="K121">
        <v>816</v>
      </c>
      <c r="M121" t="b">
        <v>1</v>
      </c>
      <c r="N121" t="e">
        <f>-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f>
        <v>#NAME?</v>
      </c>
    </row>
    <row r="122" spans="1:14">
      <c r="A122" t="s">
        <v>59</v>
      </c>
      <c r="B122">
        <v>121</v>
      </c>
      <c r="C122" t="s">
        <v>214</v>
      </c>
      <c r="D122">
        <v>959</v>
      </c>
      <c r="E122">
        <v>964</v>
      </c>
      <c r="I122">
        <v>38121</v>
      </c>
      <c r="J122">
        <v>38121</v>
      </c>
      <c r="K122">
        <v>38121</v>
      </c>
      <c r="M122" t="b">
        <v>1</v>
      </c>
      <c r="N122" t="e">
        <f>-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f>
        <v>#NAME?</v>
      </c>
    </row>
    <row r="123" spans="1:14">
      <c r="A123" t="s">
        <v>59</v>
      </c>
      <c r="B123">
        <v>122</v>
      </c>
      <c r="C123" t="s">
        <v>215</v>
      </c>
      <c r="D123">
        <v>965</v>
      </c>
      <c r="E123">
        <v>970</v>
      </c>
      <c r="I123">
        <v>2169</v>
      </c>
      <c r="J123">
        <v>2169</v>
      </c>
      <c r="K123">
        <v>2169</v>
      </c>
      <c r="M123" t="b">
        <v>1</v>
      </c>
      <c r="N123" t="e">
        <f>- (디지털배움터) 국민 모두가 차별이나 배제없이 AI·디지털 기술 및 서비스의 혜택 을 누릴 수 있도록 AI·디지털 교육 제공 및 디지털 포용 기반 조성 - (디지털배움터 운영) AI·디지털에 어려움을 느끼는 국민 대상 키오스크·스마트폰부터 생성형 AI까지 다양한 AI·디지털 교육 제공 및 시설·장비 구축</f>
        <v>#NAME?</v>
      </c>
    </row>
    <row r="124" spans="1:14">
      <c r="A124" t="s">
        <v>59</v>
      </c>
      <c r="B124">
        <v>123</v>
      </c>
      <c r="C124" t="s">
        <v>216</v>
      </c>
      <c r="D124">
        <v>971</v>
      </c>
      <c r="E124">
        <v>978</v>
      </c>
      <c r="F124">
        <v>8000</v>
      </c>
      <c r="G124">
        <v>12000</v>
      </c>
      <c r="H124">
        <v>12000</v>
      </c>
      <c r="I124">
        <v>12000</v>
      </c>
      <c r="J124">
        <v>12000</v>
      </c>
      <c r="K124">
        <v>0</v>
      </c>
      <c r="L124">
        <v>0</v>
      </c>
      <c r="M124" t="b">
        <v>0</v>
      </c>
      <c r="N124" t="s">
        <v>217</v>
      </c>
    </row>
    <row r="125" spans="1:14">
      <c r="A125" t="s">
        <v>59</v>
      </c>
      <c r="B125">
        <v>124</v>
      </c>
      <c r="C125" t="s">
        <v>218</v>
      </c>
      <c r="D125">
        <v>979</v>
      </c>
      <c r="E125">
        <v>986</v>
      </c>
      <c r="F125">
        <v>47890</v>
      </c>
      <c r="G125">
        <v>49206</v>
      </c>
      <c r="H125">
        <v>49206</v>
      </c>
      <c r="I125">
        <v>58206</v>
      </c>
      <c r="J125">
        <v>59529</v>
      </c>
      <c r="K125">
        <v>10323</v>
      </c>
      <c r="L125">
        <v>20.98</v>
      </c>
      <c r="M125" t="b">
        <v>0</v>
      </c>
      <c r="N125" t="e">
        <f>- (디지털선도기술핵심인재양성) 대학, 기업, 지역 등 ICT융합 학ž석ž박사 교육연계를 통해 석·박사급 인재 양성 지원 및 글로벌 네트워크 기반 조성 · (교육훈련) AI 대전환 시대를 견인하기 위해 대학, 기업, 지역 등이 연계하여 융합인재, 지역인재, 글로벌인재 등 ICT 유망·핵심기술 분야의 석·박사 인재 양성</f>
        <v>#NAME?</v>
      </c>
    </row>
    <row r="126" spans="1:14">
      <c r="A126" t="s">
        <v>59</v>
      </c>
      <c r="B126">
        <v>125</v>
      </c>
      <c r="C126" t="s">
        <v>219</v>
      </c>
      <c r="D126">
        <v>987</v>
      </c>
      <c r="E126">
        <v>994</v>
      </c>
      <c r="F126">
        <v>35685</v>
      </c>
      <c r="G126">
        <v>32085</v>
      </c>
      <c r="H126">
        <v>38665</v>
      </c>
      <c r="I126">
        <v>14102</v>
      </c>
      <c r="J126">
        <v>14102</v>
      </c>
      <c r="K126">
        <v>-17983</v>
      </c>
      <c r="L126">
        <v>-56</v>
      </c>
      <c r="M126" t="b">
        <v>0</v>
      </c>
      <c r="N126" t="s">
        <v>220</v>
      </c>
    </row>
    <row r="127" spans="1:14">
      <c r="A127" t="s">
        <v>59</v>
      </c>
      <c r="B127">
        <v>126</v>
      </c>
      <c r="C127" t="s">
        <v>221</v>
      </c>
      <c r="D127">
        <v>995</v>
      </c>
      <c r="E127">
        <v>1009</v>
      </c>
      <c r="F127">
        <v>81858</v>
      </c>
      <c r="G127">
        <v>50752</v>
      </c>
      <c r="H127">
        <v>55752</v>
      </c>
      <c r="I127">
        <v>91188</v>
      </c>
      <c r="J127">
        <v>91188</v>
      </c>
      <c r="K127">
        <v>40436</v>
      </c>
      <c r="L127">
        <v>79.7</v>
      </c>
      <c r="M127" t="b">
        <v>0</v>
      </c>
      <c r="N127" t="s">
        <v>222</v>
      </c>
    </row>
    <row r="128" spans="1:14">
      <c r="A128" t="s">
        <v>59</v>
      </c>
      <c r="B128">
        <v>127</v>
      </c>
      <c r="C128" t="s">
        <v>223</v>
      </c>
      <c r="D128">
        <v>1010</v>
      </c>
      <c r="E128">
        <v>1019</v>
      </c>
      <c r="F128">
        <v>2400</v>
      </c>
      <c r="G128">
        <v>1680</v>
      </c>
      <c r="H128">
        <v>1680</v>
      </c>
      <c r="I128">
        <v>2400</v>
      </c>
      <c r="J128">
        <v>2400</v>
      </c>
      <c r="K128">
        <v>720</v>
      </c>
      <c r="L128">
        <v>42.9</v>
      </c>
      <c r="M128" t="b">
        <v>0</v>
      </c>
      <c r="N128" t="e">
        <f>- (디지털 트윈 융합 의료혁신 선도사업) 첨단 의료기기 클러스터를 운영중인 강원도를 중심으로, 국내 디지털 의료기기 개발과 임상 혁신을 위한 의료기기 기업의 디지털 트윈 활용 기반 구축및 시제품 제작 및 검증 지원 - (주요내용) 디지털 의료기기 실증 사업화 및 역량있는 의료기기 기업이 활용할 수 있는 디지털트윈 공동기반을 구축하고, 시제품의 검증기반 및 사업화 지원</f>
        <v>#NAME?</v>
      </c>
    </row>
    <row r="129" spans="1:14">
      <c r="A129" t="s">
        <v>59</v>
      </c>
      <c r="B129">
        <v>128</v>
      </c>
      <c r="C129" t="s">
        <v>224</v>
      </c>
      <c r="D129">
        <v>1020</v>
      </c>
      <c r="E129">
        <v>1024</v>
      </c>
      <c r="I129">
        <v>3500</v>
      </c>
      <c r="J129">
        <v>3500</v>
      </c>
      <c r="K129">
        <v>3500</v>
      </c>
      <c r="M129" t="b">
        <v>1</v>
      </c>
      <c r="N129" t="e">
        <f>- (사업목적) 의료데이터 중심의 버티컬 AI와 로보틱스·웨어러블 중심의 피지컬 AI 기술교육 및 산업 적용 연계를 추진하여 디지털헬스케어 AI융합혁신 생태계 조성에 기여 - (사업내용) GPU·NPU 하이브리드 AI 실습환경을 구축하고, 의료데이터 특화 버티컬 AI와 로보틱스·웨어러블 중심 피지컬AI 통합 교육 추진</f>
        <v>#NAME?</v>
      </c>
    </row>
    <row r="130" spans="1:14">
      <c r="A130" t="s">
        <v>59</v>
      </c>
      <c r="B130">
        <v>129</v>
      </c>
      <c r="C130" t="s">
        <v>225</v>
      </c>
      <c r="D130">
        <v>1025</v>
      </c>
      <c r="E130">
        <v>1035</v>
      </c>
      <c r="F130">
        <v>2930</v>
      </c>
      <c r="G130">
        <v>6460</v>
      </c>
      <c r="I130">
        <v>9751</v>
      </c>
      <c r="J130">
        <v>9751</v>
      </c>
      <c r="K130">
        <v>3291</v>
      </c>
      <c r="L130">
        <v>50.9</v>
      </c>
      <c r="M130" t="b">
        <v>0</v>
      </c>
      <c r="N130" t="s">
        <v>226</v>
      </c>
    </row>
    <row r="131" spans="1:14">
      <c r="A131" t="s">
        <v>59</v>
      </c>
      <c r="B131">
        <v>130</v>
      </c>
      <c r="C131" t="s">
        <v>227</v>
      </c>
      <c r="D131">
        <v>1036</v>
      </c>
      <c r="E131">
        <v>1049</v>
      </c>
      <c r="F131">
        <v>9625</v>
      </c>
      <c r="G131">
        <v>7411</v>
      </c>
      <c r="H131">
        <v>7411</v>
      </c>
      <c r="I131">
        <v>21524</v>
      </c>
      <c r="J131">
        <v>23924</v>
      </c>
      <c r="K131">
        <v>16513</v>
      </c>
      <c r="L131">
        <v>222.8</v>
      </c>
      <c r="M131" t="b">
        <v>0</v>
      </c>
      <c r="N131" t="s">
        <v>228</v>
      </c>
    </row>
    <row r="132" spans="1:14">
      <c r="A132" t="s">
        <v>59</v>
      </c>
      <c r="B132">
        <v>131</v>
      </c>
      <c r="C132" t="s">
        <v>229</v>
      </c>
      <c r="D132">
        <v>1050</v>
      </c>
      <c r="E132">
        <v>1054</v>
      </c>
      <c r="I132">
        <v>6400</v>
      </c>
      <c r="J132">
        <v>6400</v>
      </c>
      <c r="K132">
        <v>6400</v>
      </c>
      <c r="M132" t="b">
        <v>1</v>
      </c>
      <c r="N132" t="e">
        <f ca="1">- 민관 협력 기반 체화 AI 휴머노이드핵심 원천기술 패키지(SW, HW 등) 개발 및 현장 실증 - 일상 환경 및 산업 현장에서 복합적·연속적으로 수행되는 작업을 대상으로, 각 세부 단계별 필요한 동작과 힘을 자율적으로 생성·추론할 수 있는 VHLA(시각-촉각-언어-행동) 모델 개발</f>
        <v>#NAME?</v>
      </c>
    </row>
    <row r="133" spans="1:14">
      <c r="A133" t="s">
        <v>59</v>
      </c>
      <c r="B133">
        <v>132</v>
      </c>
      <c r="C133" t="s">
        <v>230</v>
      </c>
      <c r="D133">
        <v>1055</v>
      </c>
      <c r="E133">
        <v>1065</v>
      </c>
      <c r="F133">
        <v>304292</v>
      </c>
      <c r="G133">
        <v>361072</v>
      </c>
      <c r="H133">
        <v>361072</v>
      </c>
      <c r="I133">
        <v>434276</v>
      </c>
      <c r="J133">
        <v>442976</v>
      </c>
      <c r="K133">
        <v>81904</v>
      </c>
      <c r="L133">
        <v>22.7</v>
      </c>
      <c r="M133" t="b">
        <v>0</v>
      </c>
      <c r="N133" t="s">
        <v>231</v>
      </c>
    </row>
    <row r="134" spans="1:14">
      <c r="A134" t="s">
        <v>59</v>
      </c>
      <c r="B134">
        <v>133</v>
      </c>
      <c r="C134" t="s">
        <v>232</v>
      </c>
      <c r="D134">
        <v>1066</v>
      </c>
      <c r="E134">
        <v>1076</v>
      </c>
      <c r="F134">
        <v>40707</v>
      </c>
      <c r="G134">
        <v>65011</v>
      </c>
      <c r="H134">
        <v>65011</v>
      </c>
      <c r="I134">
        <v>68808</v>
      </c>
      <c r="J134">
        <v>68808</v>
      </c>
      <c r="K134">
        <v>3797</v>
      </c>
      <c r="L134">
        <v>5.8</v>
      </c>
      <c r="M134" t="b">
        <v>0</v>
      </c>
      <c r="N134" t="s">
        <v>233</v>
      </c>
    </row>
    <row r="135" spans="1:14">
      <c r="A135" t="s">
        <v>59</v>
      </c>
      <c r="B135">
        <v>134</v>
      </c>
      <c r="C135" t="s">
        <v>234</v>
      </c>
      <c r="D135">
        <v>1077</v>
      </c>
      <c r="E135">
        <v>1082</v>
      </c>
      <c r="G135">
        <v>4472</v>
      </c>
      <c r="H135">
        <v>4472</v>
      </c>
      <c r="I135">
        <v>14558</v>
      </c>
      <c r="J135">
        <v>14558</v>
      </c>
      <c r="K135">
        <v>10086</v>
      </c>
      <c r="L135">
        <v>225.5</v>
      </c>
      <c r="M135" t="b">
        <v>0</v>
      </c>
      <c r="N135" t="s">
        <v>235</v>
      </c>
    </row>
    <row r="136" spans="1:14">
      <c r="A136" t="s">
        <v>59</v>
      </c>
      <c r="B136">
        <v>135</v>
      </c>
      <c r="C136" t="s">
        <v>236</v>
      </c>
      <c r="D136">
        <v>1083</v>
      </c>
      <c r="E136">
        <v>1088</v>
      </c>
      <c r="F136">
        <v>3000</v>
      </c>
      <c r="G136">
        <v>6000</v>
      </c>
      <c r="H136">
        <v>6000</v>
      </c>
      <c r="I136">
        <v>7333</v>
      </c>
      <c r="J136">
        <v>7333</v>
      </c>
      <c r="K136">
        <v>1333</v>
      </c>
      <c r="L136">
        <v>22.2</v>
      </c>
      <c r="M136" t="b">
        <v>0</v>
      </c>
      <c r="N136" t="e">
        <f ca="1">- (복합지능 자율행동체 SW핵심기술개발) 클라우드-엣지-디바이스 구조 기반으로 다양한 분야에서 사람의 작업 보조가 가능한 자율행동체(로봇) 핵심기술 개발</f>
        <v>#NAME?</v>
      </c>
    </row>
    <row r="137" spans="1:14">
      <c r="A137" t="s">
        <v>59</v>
      </c>
      <c r="B137">
        <v>136</v>
      </c>
      <c r="C137" t="s">
        <v>237</v>
      </c>
      <c r="D137">
        <v>1089</v>
      </c>
      <c r="E137">
        <v>1095</v>
      </c>
      <c r="I137">
        <v>1872</v>
      </c>
      <c r="J137">
        <v>1872</v>
      </c>
      <c r="K137">
        <v>1872</v>
      </c>
      <c r="M137" t="b">
        <v>1</v>
      </c>
      <c r="N137" t="s">
        <v>238</v>
      </c>
    </row>
    <row r="138" spans="1:14">
      <c r="A138" t="s">
        <v>59</v>
      </c>
      <c r="B138">
        <v>137</v>
      </c>
      <c r="C138" t="s">
        <v>239</v>
      </c>
      <c r="D138">
        <v>1096</v>
      </c>
      <c r="E138">
        <v>1103</v>
      </c>
      <c r="F138">
        <v>930</v>
      </c>
      <c r="G138">
        <v>1600</v>
      </c>
      <c r="I138">
        <v>1600</v>
      </c>
      <c r="J138">
        <v>1600</v>
      </c>
      <c r="M138" t="b">
        <v>0</v>
      </c>
      <c r="N138" t="s">
        <v>240</v>
      </c>
    </row>
    <row r="139" spans="1:14">
      <c r="A139" t="s">
        <v>59</v>
      </c>
      <c r="B139">
        <v>138</v>
      </c>
      <c r="C139" t="s">
        <v>241</v>
      </c>
      <c r="D139">
        <v>1104</v>
      </c>
      <c r="E139">
        <v>1114</v>
      </c>
      <c r="F139">
        <v>45075</v>
      </c>
      <c r="G139">
        <v>42860</v>
      </c>
      <c r="H139">
        <v>42860</v>
      </c>
      <c r="I139">
        <v>42860</v>
      </c>
      <c r="J139">
        <v>42860</v>
      </c>
      <c r="M139" t="b">
        <v>0</v>
      </c>
      <c r="N139" t="s">
        <v>242</v>
      </c>
    </row>
    <row r="140" spans="1:14">
      <c r="A140" t="s">
        <v>59</v>
      </c>
      <c r="B140">
        <v>139</v>
      </c>
      <c r="C140" t="s">
        <v>243</v>
      </c>
      <c r="D140">
        <v>1115</v>
      </c>
      <c r="E140">
        <v>1122</v>
      </c>
      <c r="F140">
        <v>3500</v>
      </c>
      <c r="G140">
        <v>5200</v>
      </c>
      <c r="H140">
        <v>8700</v>
      </c>
      <c r="I140">
        <v>27000</v>
      </c>
      <c r="J140">
        <v>27000</v>
      </c>
      <c r="K140">
        <v>21800</v>
      </c>
      <c r="L140">
        <v>419</v>
      </c>
      <c r="M140" t="b">
        <v>0</v>
      </c>
      <c r="N140" t="e">
        <f>- (생성AI선도인재양성) 생성 AI 기관과 국내 대학원 간 공동 및 파견연구를 지원하여 생성 AI 초격차 기술 확보를 주도할 핵심 고급 인재 양성 - (생성AI핵심고급인재) 대학원생 대상, 국내 생성AI 기관과의 공동연구를 통해 핵심 고급인재로 양성하여 생성AI 기술 경쟁력 제고</f>
        <v>#NAME?</v>
      </c>
    </row>
    <row r="141" spans="1:14">
      <c r="A141" t="s">
        <v>59</v>
      </c>
      <c r="B141">
        <v>140</v>
      </c>
      <c r="C141" t="s">
        <v>244</v>
      </c>
      <c r="D141">
        <v>1123</v>
      </c>
      <c r="E141">
        <v>1129</v>
      </c>
      <c r="I141">
        <v>7500</v>
      </c>
      <c r="J141">
        <v>7500</v>
      </c>
      <c r="K141">
        <v>7500</v>
      </c>
      <c r="M141" t="b">
        <v>1</v>
      </c>
      <c r="N141" t="e">
        <f ca="1">- (세부사업명) 생체노화 리프로그래밍 원천기술 개발 : 세계 최초로 고도노화*의 정량 지표를 확립하고, 세포 단위로 노화를 되돌릴 수 있는 제어기술 개발 * 세포·조직의 노화를 정의하는 개념(심한 과체중을 정의하는 고도비만과 유사한 용도의 개념) - (내역사업①) 고도노화 정량 지표 확립 및 세포-조직-장기별 다차원 노화지도 구축 :  현재 고도노화를 계량화할 수 있는 표준 기준이 부재하므로 조기 진단 및 원인 규명을 위해 다수의 분자·세포 지표를 통합한 수치화된 기준 마련. 각 장기별 노 화 미세환경의 이질성을 정밀하게 파악하여 고도 노화 제어 원천 기술의 기반이 될 수 있는 다차원 노화지도 구축 - (내역사업②) 노화 미세환경기반 제어 원천기술 개발 :  면역세포, 뇌세포, 심혈관세포, 대사연관세포 등 각 조직-장기 특이적 노화미세환 경 조절 유전자 및 신호경로 규명. 세포에서 노화가 일어나는 유전자·분자 단위 의 경로를 분석하고, 노화를 되돌릴 수 있는 표적 조절 후보 선별 →노화인자 발현조절 도구 및 후보물질을 발굴하고 효능 검증 - (내역사업③) 노화 제어기술 효능 평가용 플랫폼 구축 :  고도노화 제어기술의 효과를 객관적으로 평가하기 위한 다기능 플랫폼 구축. 인 간에서 유래한 오가노이드·장기칩·다중공배양 및 질환·노화모델 동물을 활용하여 정량지표 변화 중심의 효능 평가 방법론 개발. 기존의 오가노이드 모델 등은 주 로 장기 특이적 기능 재현 또는 약물 반응 테스트를 위한 정적 모델로 활용 →시간 축에 따른 노화 지표의 변화를 추적할 수 있는 노화 플랫폼을 통해 노 화의 동역학적 경로를 분석하는 모델 필요</f>
        <v>#NAME?</v>
      </c>
    </row>
    <row r="142" spans="1:14">
      <c r="A142" t="s">
        <v>59</v>
      </c>
      <c r="B142">
        <v>141</v>
      </c>
      <c r="C142" t="s">
        <v>245</v>
      </c>
      <c r="D142">
        <v>1130</v>
      </c>
      <c r="E142">
        <v>1138</v>
      </c>
      <c r="F142">
        <v>14053</v>
      </c>
      <c r="G142">
        <v>16214</v>
      </c>
      <c r="H142">
        <v>16214</v>
      </c>
      <c r="I142">
        <v>19985</v>
      </c>
      <c r="J142">
        <v>20785</v>
      </c>
      <c r="K142">
        <v>4571</v>
      </c>
      <c r="L142">
        <v>28.2</v>
      </c>
      <c r="M142" t="b">
        <v>0</v>
      </c>
      <c r="N142" t="e">
        <f ca="1">- (김치발효의 과학화를 위한 핵심원천기술 개발) ‧ 종균기반 국산김치 품질 차별화 기술개발 : 발효목적/소비자 수요 맞춤의 종균 라인업 강화 및 김치 발효조절 융·복합기술 개발, 멀티 오믹스 기반 김치 미생물의 김치발효 전개 방향성 예측 및 통제 모델 확립, 산업체 보급 확대를 위한 김치종균 대량생산 및 유통안정 통합솔루션 개발 ‧ 김치의 건강기능성 증진효과 구명 : 김치의 항비만/장건강/면역증진 기전·효능 구명 및 마이크로 바이옴 상관성 분석, 김치 유래 기능성 바이오 소재의 항비만·장건강·면역 효능 검증 시스템 구축 - (김치산업의 선진화를 위한 산업화기술 개발) ‧ 산업체 수요기반 상품김치 가격경쟁력 확보기술 개발 : 김치 생산 공정 기계·자동화와 김치 원부재료 수급 안정화 기술 개발로 김치산업 가격 경쟁력 확보 및 김치산업 기술 혁신 ‧ 김치의 전주기적 품질관리 기술 개발 : 김치 품질·위생안전 관리기술 개발과 스마트 포장 기술로 김치제조업체 및 소비자 수요 대응, 김치 제조업체 역량강화를 위한 수요기반 맞춤형 기술 지원 ‧ 김치 장기 유통을 위한 융복합 기술 개발 : 김치 장기저장 및 수출을 위해 발효를 지연하고 식감을 유자힐 수 있는 융복합 기술 개발 ‧ 식품 폐자원 활용 업사이클링 플랫폼 기술 개발 : 식품산업 탄소중립 실현을 위한 식품 폐자원을 활용한 바이오 업사이클링 및 산업화 기술 개발 - (김치가치 제고를 위한 자원화 및 활용 인프라 구축) ‧ 김치연구자원·정보 확보 및 활용 인프라 구축 : 김치 원부재료, 발효 미생물 등 김치의 원부재료부터 최종 제품까지 통합 정보 구축, 김치 연구자원(유산균, 유전체 정보, 원부재료 위해요소) 정보를 종합적으로 제공하는 김치 자원은행 운영 ‧ 김치 과학·문화 자원의 플랫폼 구축 및 확산 연구 : 김치의 역사·독자적 정체성 구명 및 김치 문화 융성의 증거로써 김치의 다양·창의· 지속성 근거 확보 및 자원화, 김치산업 종합정보 서비스, 국내 김치섭취량 분석 모형 개발 등</f>
        <v>#NAME?</v>
      </c>
    </row>
    <row r="143" spans="1:14">
      <c r="A143" t="s">
        <v>59</v>
      </c>
      <c r="B143">
        <v>142</v>
      </c>
      <c r="C143" t="s">
        <v>246</v>
      </c>
      <c r="D143">
        <v>1139</v>
      </c>
      <c r="E143">
        <v>1143</v>
      </c>
      <c r="I143">
        <v>1228</v>
      </c>
      <c r="J143">
        <v>3328</v>
      </c>
      <c r="K143">
        <v>3328</v>
      </c>
      <c r="M143" t="b">
        <v>1</v>
      </c>
      <c r="N143" t="s">
        <v>247</v>
      </c>
    </row>
    <row r="144" spans="1:14">
      <c r="A144" t="s">
        <v>59</v>
      </c>
      <c r="B144">
        <v>143</v>
      </c>
      <c r="C144" t="s">
        <v>248</v>
      </c>
      <c r="D144">
        <v>1144</v>
      </c>
      <c r="E144">
        <v>1149</v>
      </c>
      <c r="F144">
        <v>1100</v>
      </c>
      <c r="G144">
        <v>1100</v>
      </c>
      <c r="H144">
        <v>1100</v>
      </c>
      <c r="I144">
        <v>760</v>
      </c>
      <c r="J144">
        <v>760</v>
      </c>
      <c r="K144">
        <v>-340</v>
      </c>
      <c r="L144">
        <v>-30.9</v>
      </c>
      <c r="M144" t="b">
        <v>0</v>
      </c>
      <c r="N144" t="e">
        <f ca="1">- (스마트엣지디바이스기술개발) 디지털(데이터·AI 등) 생태계 조성 및 국산 인공지능 반도체 활성화를 위한 맞춤형 스마트 엣지 디바이스 기술 개발</f>
        <v>#NAME?</v>
      </c>
    </row>
    <row r="145" spans="1:14">
      <c r="A145" t="s">
        <v>59</v>
      </c>
      <c r="B145">
        <v>144</v>
      </c>
      <c r="C145" t="s">
        <v>249</v>
      </c>
      <c r="D145">
        <v>1150</v>
      </c>
      <c r="E145">
        <v>1155</v>
      </c>
      <c r="F145">
        <v>3000</v>
      </c>
      <c r="G145">
        <v>2400</v>
      </c>
      <c r="H145">
        <v>2400</v>
      </c>
      <c r="I145">
        <v>2160</v>
      </c>
      <c r="J145">
        <v>2160</v>
      </c>
      <c r="K145">
        <v>-240</v>
      </c>
      <c r="L145">
        <v>-10</v>
      </c>
      <c r="M145" t="b">
        <v>0</v>
      </c>
      <c r="N145" t="e">
        <f>- (사업목적) 물류데이터 수집·분석·활용을 위한 디지털 물류 플랫폼 구축 및 신서비스 개발·실증, 물류산업의 디지털 전환 촉진 - (사업내용) 물류데이터의 공공개방 및 활용을 위한 디지털 물류 플랫폼 구축, 공공물 류센터 수요기반 물류자동화 신서비스 개발 및 실증 추진</f>
        <v>#NAME?</v>
      </c>
    </row>
    <row r="146" spans="1:14">
      <c r="A146" t="s">
        <v>59</v>
      </c>
      <c r="B146">
        <v>145</v>
      </c>
      <c r="C146" t="s">
        <v>250</v>
      </c>
      <c r="D146">
        <v>1156</v>
      </c>
      <c r="E146">
        <v>1163</v>
      </c>
      <c r="F146">
        <v>1800</v>
      </c>
      <c r="G146">
        <v>3200</v>
      </c>
      <c r="H146">
        <v>3200</v>
      </c>
      <c r="I146">
        <v>2600</v>
      </c>
      <c r="J146">
        <v>2746</v>
      </c>
      <c r="K146">
        <v>-454</v>
      </c>
      <c r="L146">
        <v>-14.2</v>
      </c>
      <c r="M146" t="b">
        <v>0</v>
      </c>
      <c r="N146" t="s">
        <v>251</v>
      </c>
    </row>
    <row r="147" spans="1:14">
      <c r="A147" t="s">
        <v>59</v>
      </c>
      <c r="B147">
        <v>146</v>
      </c>
      <c r="C147" t="s">
        <v>252</v>
      </c>
      <c r="D147">
        <v>1164</v>
      </c>
      <c r="E147">
        <v>1171</v>
      </c>
      <c r="F147">
        <v>99519</v>
      </c>
      <c r="G147">
        <v>112980</v>
      </c>
      <c r="H147">
        <v>112980</v>
      </c>
      <c r="I147">
        <v>81516</v>
      </c>
      <c r="J147">
        <v>82546</v>
      </c>
      <c r="K147">
        <v>-30434</v>
      </c>
      <c r="L147">
        <v>-26.9</v>
      </c>
      <c r="M147" t="b">
        <v>0</v>
      </c>
      <c r="N147" t="s">
        <v>251</v>
      </c>
    </row>
    <row r="148" spans="1:14">
      <c r="A148" t="s">
        <v>59</v>
      </c>
      <c r="B148">
        <v>147</v>
      </c>
      <c r="C148" t="s">
        <v>253</v>
      </c>
      <c r="D148">
        <v>1172</v>
      </c>
      <c r="E148">
        <v>1183</v>
      </c>
      <c r="F148">
        <v>7013</v>
      </c>
      <c r="G148">
        <v>8498</v>
      </c>
      <c r="H148">
        <v>8498</v>
      </c>
      <c r="I148">
        <v>8904</v>
      </c>
      <c r="J148">
        <v>8904</v>
      </c>
      <c r="K148">
        <v>406</v>
      </c>
      <c r="L148">
        <v>4.8</v>
      </c>
      <c r="M148" t="b">
        <v>0</v>
      </c>
      <c r="N148" t="s">
        <v>254</v>
      </c>
    </row>
    <row r="149" spans="1:14">
      <c r="A149" t="s">
        <v>59</v>
      </c>
      <c r="B149">
        <v>148</v>
      </c>
      <c r="C149" t="s">
        <v>255</v>
      </c>
      <c r="D149">
        <v>1184</v>
      </c>
      <c r="E149">
        <v>1190</v>
      </c>
      <c r="G149">
        <v>4500</v>
      </c>
      <c r="H149">
        <v>4500</v>
      </c>
      <c r="I149">
        <v>5000</v>
      </c>
      <c r="J149">
        <v>5000</v>
      </c>
      <c r="K149">
        <v>500</v>
      </c>
      <c r="L149">
        <v>11.1</v>
      </c>
      <c r="M149" t="b">
        <v>0</v>
      </c>
      <c r="N149" t="s">
        <v>256</v>
      </c>
    </row>
    <row r="150" spans="1:14">
      <c r="A150" t="s">
        <v>59</v>
      </c>
      <c r="B150">
        <v>149</v>
      </c>
      <c r="C150" t="s">
        <v>257</v>
      </c>
      <c r="D150">
        <v>1191</v>
      </c>
      <c r="E150">
        <v>1196</v>
      </c>
      <c r="I150">
        <v>6000</v>
      </c>
      <c r="J150">
        <v>6000</v>
      </c>
      <c r="K150">
        <v>6000</v>
      </c>
      <c r="M150" t="b">
        <v>1</v>
      </c>
      <c r="N150" t="e">
        <f ca="1">- (실세계능동행동형에이전틱AI기술개발) 실세계에서 사람의 개입 없이 자율·능동적으로 임무 설정→판단→행동이 가능한 에이전틱 AI 핵심기술 확보및 국내 확산 * 인지추론 AI Reflection → 계획조정 AI Planning → 행동 AI Tool Use → 협업개선 AI Multi-AGENT Collaboration 핵심기술 개발 목표(안) § (인지·추론) AI Reflection 기술(알고리즘) 확보 ※ 생성한 절차, 판단 등에 대해 비판하고 개선 및 성찰 § (계획·조정) AI Planning 기술(알고리즘) 확보 ※ 복잡한 요청을 처리하기 위해 연속적인 행동을 결정하고 수행 § (행동) AI Tool Use 기술(알고리즘) 확보 ※ 목표 달성을 위한 도구 탐색, 활용 § (협업·개선) AI Multi-AGENT Collaboration 기술(알고리즘) 확보 ※ 서로 다른 시점에서 서로 다른 역할을 수행하거나 협업</f>
        <v>#NAME?</v>
      </c>
    </row>
    <row r="151" spans="1:14">
      <c r="A151" t="s">
        <v>59</v>
      </c>
      <c r="B151">
        <v>150</v>
      </c>
      <c r="C151" t="s">
        <v>258</v>
      </c>
      <c r="D151">
        <v>1197</v>
      </c>
      <c r="E151">
        <v>1203</v>
      </c>
      <c r="F151">
        <v>1225</v>
      </c>
      <c r="G151">
        <v>3050</v>
      </c>
      <c r="H151">
        <v>3050</v>
      </c>
      <c r="I151">
        <v>4550</v>
      </c>
      <c r="J151">
        <v>4550</v>
      </c>
      <c r="K151">
        <v>1500</v>
      </c>
      <c r="L151">
        <v>49.2</v>
      </c>
      <c r="M151" t="b">
        <v>0</v>
      </c>
      <c r="N151" t="e">
        <f>- (연합학습기반신약개발가속화프로젝트) 제약사 등이 보유한 양질의 데이터를 활용, 데이터 보안을 유지하면서 데이터 연합학습이 가능한 모델ㆍ플랫폼을 개발하여 신약개발 데이터의 효과적인 활용 체계 구축 및 문제 해결형 연구 생태계 조성 - (내역사업①연합학습기반신약개발가속화프로젝트) 연합학습 신약개발 가속화 프로 젝트 추진을 위한 플랫폼 구축 및 사업단 사무국 운영 - (내역사업②연합학습 플랫폼활용활성화지원) AI 신약 개발에 필요한 데이터 활용 협력체계 구축, 데이터 품질관리, 전처리 도구 개발 등을 지원</f>
        <v>#NAME?</v>
      </c>
    </row>
    <row r="152" spans="1:14">
      <c r="A152" t="s">
        <v>59</v>
      </c>
      <c r="B152">
        <v>151</v>
      </c>
      <c r="C152" t="s">
        <v>259</v>
      </c>
      <c r="D152">
        <v>1204</v>
      </c>
      <c r="E152">
        <v>1210</v>
      </c>
      <c r="F152">
        <v>980</v>
      </c>
      <c r="G152">
        <v>3925</v>
      </c>
      <c r="H152">
        <v>3925</v>
      </c>
      <c r="I152">
        <v>3466</v>
      </c>
      <c r="J152">
        <v>3466</v>
      </c>
      <c r="K152">
        <v>-459</v>
      </c>
      <c r="L152">
        <v>-11.7</v>
      </c>
      <c r="M152" t="b">
        <v>0</v>
      </c>
      <c r="N152" t="s">
        <v>260</v>
      </c>
    </row>
    <row r="153" spans="1:14">
      <c r="A153" t="s">
        <v>59</v>
      </c>
      <c r="B153">
        <v>152</v>
      </c>
      <c r="C153" t="s">
        <v>261</v>
      </c>
      <c r="D153">
        <v>1211</v>
      </c>
      <c r="E153">
        <v>1217</v>
      </c>
      <c r="G153">
        <v>8669</v>
      </c>
      <c r="I153">
        <v>9750</v>
      </c>
      <c r="J153">
        <v>9750</v>
      </c>
      <c r="K153">
        <v>1081</v>
      </c>
      <c r="L153">
        <v>12.5</v>
      </c>
      <c r="M153" t="b">
        <v>0</v>
      </c>
      <c r="N153" t="s">
        <v>262</v>
      </c>
    </row>
    <row r="154" spans="1:14">
      <c r="A154" t="s">
        <v>59</v>
      </c>
      <c r="B154">
        <v>153</v>
      </c>
      <c r="C154" t="s">
        <v>263</v>
      </c>
      <c r="D154">
        <v>1218</v>
      </c>
      <c r="E154">
        <v>1223</v>
      </c>
      <c r="I154">
        <v>825</v>
      </c>
      <c r="J154">
        <v>825</v>
      </c>
      <c r="K154">
        <v>825</v>
      </c>
      <c r="M154" t="b">
        <v>1</v>
      </c>
      <c r="N154" t="s">
        <v>264</v>
      </c>
    </row>
    <row r="155" spans="1:14">
      <c r="A155" t="s">
        <v>59</v>
      </c>
      <c r="B155">
        <v>154</v>
      </c>
      <c r="C155" t="s">
        <v>265</v>
      </c>
      <c r="D155">
        <v>1224</v>
      </c>
      <c r="E155">
        <v>1235</v>
      </c>
      <c r="F155">
        <v>85922</v>
      </c>
      <c r="G155">
        <v>90160</v>
      </c>
      <c r="H155">
        <v>97660</v>
      </c>
      <c r="I155">
        <v>126289</v>
      </c>
      <c r="J155">
        <v>126289</v>
      </c>
      <c r="K155">
        <v>36129</v>
      </c>
      <c r="L155">
        <v>40.1</v>
      </c>
      <c r="M155" t="b">
        <v>0</v>
      </c>
      <c r="N155" t="s">
        <v>266</v>
      </c>
    </row>
    <row r="156" spans="1:14">
      <c r="A156" t="s">
        <v>59</v>
      </c>
      <c r="B156">
        <v>155</v>
      </c>
      <c r="C156" t="s">
        <v>267</v>
      </c>
      <c r="D156">
        <v>1236</v>
      </c>
      <c r="E156">
        <v>1256</v>
      </c>
      <c r="F156">
        <v>7763</v>
      </c>
      <c r="G156">
        <v>17263</v>
      </c>
      <c r="H156">
        <v>22663</v>
      </c>
      <c r="I156">
        <v>42300</v>
      </c>
      <c r="J156">
        <v>45150</v>
      </c>
      <c r="K156">
        <v>22487</v>
      </c>
      <c r="L156">
        <v>99.2</v>
      </c>
      <c r="M156" t="b">
        <v>0</v>
      </c>
      <c r="N156" t="s">
        <v>268</v>
      </c>
    </row>
    <row r="157" spans="1:14">
      <c r="A157" t="s">
        <v>59</v>
      </c>
      <c r="B157">
        <v>156</v>
      </c>
      <c r="C157" t="s">
        <v>269</v>
      </c>
      <c r="D157">
        <v>1257</v>
      </c>
      <c r="E157">
        <v>1264</v>
      </c>
      <c r="F157">
        <v>3000</v>
      </c>
      <c r="G157">
        <v>2922</v>
      </c>
      <c r="H157">
        <v>2922</v>
      </c>
      <c r="I157">
        <v>2922</v>
      </c>
      <c r="J157">
        <v>4078</v>
      </c>
      <c r="K157">
        <v>1156</v>
      </c>
      <c r="L157">
        <v>39.5</v>
      </c>
      <c r="M157" t="b">
        <v>0</v>
      </c>
      <c r="N157" t="s">
        <v>270</v>
      </c>
    </row>
    <row r="158" spans="1:14">
      <c r="A158" t="s">
        <v>59</v>
      </c>
      <c r="B158">
        <v>157</v>
      </c>
      <c r="C158" t="s">
        <v>271</v>
      </c>
      <c r="D158">
        <v>1265</v>
      </c>
      <c r="E158">
        <v>1271</v>
      </c>
      <c r="G158">
        <v>2300</v>
      </c>
      <c r="H158">
        <v>6300</v>
      </c>
      <c r="I158">
        <v>10400</v>
      </c>
      <c r="J158">
        <v>10400</v>
      </c>
      <c r="K158">
        <v>8100</v>
      </c>
      <c r="L158">
        <v>352.2</v>
      </c>
      <c r="M158" t="b">
        <v>0</v>
      </c>
      <c r="N158" t="e">
        <f ca="1">- (의료AI혁신생태계조성(닥터앤서3.0)) 질병 발생 후 환자가 병원과 가정에서 지속적 으로 건강 회복 및 유지관리를 할 수 있도록 AI기반의 예후관리 서비스 개발･실증</f>
        <v>#NAME?</v>
      </c>
    </row>
    <row r="159" spans="1:14">
      <c r="A159" t="s">
        <v>59</v>
      </c>
      <c r="B159">
        <v>158</v>
      </c>
      <c r="C159" t="s">
        <v>272</v>
      </c>
      <c r="D159">
        <v>1272</v>
      </c>
      <c r="E159">
        <v>1277</v>
      </c>
      <c r="I159">
        <v>40000</v>
      </c>
      <c r="J159">
        <v>66666</v>
      </c>
      <c r="K159">
        <v>66666</v>
      </c>
      <c r="M159" t="b">
        <v>1</v>
      </c>
      <c r="N159" t="s">
        <v>273</v>
      </c>
    </row>
    <row r="160" spans="1:14">
      <c r="A160" t="s">
        <v>59</v>
      </c>
      <c r="B160">
        <v>159</v>
      </c>
      <c r="C160" t="s">
        <v>274</v>
      </c>
      <c r="D160">
        <v>1278</v>
      </c>
      <c r="E160">
        <v>1283</v>
      </c>
      <c r="I160">
        <v>10000</v>
      </c>
      <c r="J160">
        <v>10000</v>
      </c>
      <c r="K160">
        <v>10000</v>
      </c>
      <c r="M160" t="b">
        <v>1</v>
      </c>
      <c r="N160" t="e">
        <f>- (인간인지기반AI핵심원천기술개발) 감각-기억-학습-추론 과정으로 이어지는 인간 뇌 인지 구조 모사 AI 핵심원천기술 개발로 비효율적, 자원의존적인 現AI 한계* 돌파 * 방대한 데이터에 의존적이며, 전력소모가 막대한 현 AI 한계극복을 위해 인간 뇌의 정보처리 구조와 인간의 감각-기억-학습-추론 과정을 모방하는 인간인지기반 AI기술개발</f>
        <v>#NAME?</v>
      </c>
    </row>
    <row r="161" spans="1:14">
      <c r="A161" t="s">
        <v>59</v>
      </c>
      <c r="B161">
        <v>160</v>
      </c>
      <c r="C161" t="s">
        <v>275</v>
      </c>
      <c r="D161">
        <v>1284</v>
      </c>
      <c r="E161">
        <v>1291</v>
      </c>
      <c r="G161">
        <v>6050</v>
      </c>
      <c r="H161">
        <v>6050</v>
      </c>
      <c r="I161">
        <v>7000</v>
      </c>
      <c r="J161">
        <v>7000</v>
      </c>
      <c r="K161">
        <v>950</v>
      </c>
      <c r="L161">
        <v>15.7</v>
      </c>
      <c r="M161" t="b">
        <v>0</v>
      </c>
      <c r="N161" t="s">
        <v>276</v>
      </c>
    </row>
    <row r="162" spans="1:14">
      <c r="A162" t="s">
        <v>59</v>
      </c>
      <c r="B162">
        <v>161</v>
      </c>
      <c r="C162" t="s">
        <v>277</v>
      </c>
      <c r="D162">
        <v>1292</v>
      </c>
      <c r="E162">
        <v>1297</v>
      </c>
      <c r="I162">
        <v>1000</v>
      </c>
      <c r="J162">
        <v>1000</v>
      </c>
      <c r="K162">
        <v>1000</v>
      </c>
      <c r="M162" t="b">
        <v>1</v>
      </c>
      <c r="N162" t="s">
        <v>278</v>
      </c>
    </row>
    <row r="163" spans="1:14">
      <c r="A163" t="s">
        <v>59</v>
      </c>
      <c r="B163">
        <v>162</v>
      </c>
      <c r="C163" t="s">
        <v>279</v>
      </c>
      <c r="D163">
        <v>1298</v>
      </c>
      <c r="E163">
        <v>1304</v>
      </c>
      <c r="F163">
        <v>7733</v>
      </c>
      <c r="G163">
        <v>7733</v>
      </c>
      <c r="I163">
        <v>8800</v>
      </c>
      <c r="J163">
        <v>8800</v>
      </c>
      <c r="K163">
        <v>1067</v>
      </c>
      <c r="L163">
        <v>13.8</v>
      </c>
      <c r="M163" t="b">
        <v>0</v>
      </c>
      <c r="N163" t="s">
        <v>280</v>
      </c>
    </row>
    <row r="164" spans="1:14">
      <c r="A164" t="s">
        <v>59</v>
      </c>
      <c r="B164">
        <v>163</v>
      </c>
      <c r="C164" t="s">
        <v>281</v>
      </c>
      <c r="D164">
        <v>1305</v>
      </c>
      <c r="E164">
        <v>1311</v>
      </c>
      <c r="F164">
        <v>10500</v>
      </c>
      <c r="G164">
        <v>13500</v>
      </c>
      <c r="I164">
        <v>21000</v>
      </c>
      <c r="J164">
        <v>21000</v>
      </c>
      <c r="K164">
        <v>7500</v>
      </c>
      <c r="L164">
        <v>55.5</v>
      </c>
      <c r="M164" t="b">
        <v>0</v>
      </c>
      <c r="N164" t="e">
        <f ca="1">- (인공지능융합혁신인재양성) 산·학 공동 AI융합프로젝트를 통해 산업계 현안 해결 지원 및 기업이 직접 교육과정에 참여하여 실전형 고급 인재양성 - (인공지능혁신인재양성) 국내 대학이 기업과 함께 AI Core 및 AI융합 특화 교육을 통해 실전형 AI혁신(AX : AI Transformation) 고급인재를 집중 양성</f>
        <v>#NAME?</v>
      </c>
    </row>
    <row r="165" spans="1:14">
      <c r="A165" t="s">
        <v>59</v>
      </c>
      <c r="B165">
        <v>164</v>
      </c>
      <c r="C165" t="s">
        <v>282</v>
      </c>
      <c r="D165">
        <v>1312</v>
      </c>
      <c r="E165">
        <v>1319</v>
      </c>
      <c r="F165">
        <v>7000</v>
      </c>
      <c r="G165">
        <v>6300</v>
      </c>
      <c r="H165">
        <v>6300</v>
      </c>
      <c r="I165">
        <v>6000</v>
      </c>
      <c r="J165">
        <v>6000</v>
      </c>
      <c r="K165">
        <v>-300</v>
      </c>
      <c r="M165" t="b">
        <v>0</v>
      </c>
      <c r="N165" t="s">
        <v>283</v>
      </c>
    </row>
    <row r="166" spans="1:14">
      <c r="A166" t="s">
        <v>59</v>
      </c>
      <c r="B166">
        <v>165</v>
      </c>
      <c r="C166" t="s">
        <v>284</v>
      </c>
      <c r="D166">
        <v>1320</v>
      </c>
      <c r="E166">
        <v>1327</v>
      </c>
      <c r="F166">
        <v>29970</v>
      </c>
      <c r="G166">
        <v>21797</v>
      </c>
      <c r="H166">
        <v>21797</v>
      </c>
      <c r="I166">
        <v>14575</v>
      </c>
      <c r="J166">
        <v>14575</v>
      </c>
      <c r="K166">
        <v>-7222</v>
      </c>
      <c r="L166">
        <v>-33.1</v>
      </c>
      <c r="M166" t="b">
        <v>0</v>
      </c>
      <c r="N166" t="s">
        <v>285</v>
      </c>
    </row>
    <row r="167" spans="1:14">
      <c r="A167" t="s">
        <v>59</v>
      </c>
      <c r="B167">
        <v>166</v>
      </c>
      <c r="C167" t="s">
        <v>286</v>
      </c>
      <c r="D167">
        <v>1328</v>
      </c>
      <c r="E167">
        <v>1332</v>
      </c>
      <c r="I167">
        <v>6000</v>
      </c>
      <c r="J167">
        <v>6000</v>
      </c>
      <c r="K167">
        <v>6000</v>
      </c>
      <c r="M167" t="b">
        <v>1</v>
      </c>
      <c r="N167" t="e">
        <f>- (자율행동체온디바이스응용지원핵심기술개발) 온디바이스 AI반도체의 자율행동체 (양팔이동로봇 등) 적용을 위한 SW 기술 및 자율행동체 임무수행을 위한 온디바이스 AI모델 개발과응용서비스 실증 추진을 통해 자율행동체 핵심경쟁력 강화</f>
        <v>#NAME?</v>
      </c>
    </row>
    <row r="168" spans="1:14">
      <c r="A168" t="s">
        <v>59</v>
      </c>
      <c r="B168">
        <v>167</v>
      </c>
      <c r="C168" t="s">
        <v>287</v>
      </c>
      <c r="D168">
        <v>1333</v>
      </c>
      <c r="E168">
        <v>1344</v>
      </c>
      <c r="F168">
        <v>3500</v>
      </c>
      <c r="G168">
        <v>7075</v>
      </c>
      <c r="H168">
        <v>7075</v>
      </c>
      <c r="I168">
        <v>8725</v>
      </c>
      <c r="J168">
        <v>8725</v>
      </c>
      <c r="K168">
        <v>1650</v>
      </c>
      <c r="L168">
        <v>23.3</v>
      </c>
      <c r="M168" t="b">
        <v>0</v>
      </c>
      <c r="N168" t="s">
        <v>288</v>
      </c>
    </row>
    <row r="169" spans="1:14">
      <c r="A169" t="s">
        <v>59</v>
      </c>
      <c r="B169">
        <v>168</v>
      </c>
      <c r="C169" t="s">
        <v>289</v>
      </c>
      <c r="D169">
        <v>1345</v>
      </c>
      <c r="E169">
        <v>1352</v>
      </c>
      <c r="F169">
        <v>4960</v>
      </c>
      <c r="G169">
        <v>4000</v>
      </c>
      <c r="H169">
        <v>4000</v>
      </c>
      <c r="I169">
        <v>3860</v>
      </c>
      <c r="J169">
        <v>3860</v>
      </c>
      <c r="K169">
        <v>-140</v>
      </c>
      <c r="L169">
        <v>-3.5</v>
      </c>
      <c r="M169" t="b">
        <v>0</v>
      </c>
      <c r="N169" t="s">
        <v>290</v>
      </c>
    </row>
    <row r="170" spans="1:14">
      <c r="A170" t="s">
        <v>59</v>
      </c>
      <c r="B170">
        <v>169</v>
      </c>
      <c r="C170" t="s">
        <v>291</v>
      </c>
      <c r="D170">
        <v>1353</v>
      </c>
      <c r="E170">
        <v>1360</v>
      </c>
      <c r="I170">
        <v>12500</v>
      </c>
      <c r="J170">
        <v>12500</v>
      </c>
      <c r="K170">
        <v>12500</v>
      </c>
      <c r="L170">
        <v>100</v>
      </c>
      <c r="M170" t="b">
        <v>1</v>
      </c>
      <c r="N170" t="e">
        <f>- (전국민 AI활용 서비스 개발환경 조성) 개발 경험이 풍부하지 않은 일반 시민도 AI를 활용하여 지역· 사회 문제를 해결하는 서비스를 손쉽게 개발할 수 있도록 지원하는 통합 환경 제공 - (온라인 통합 개발환경 구현) 일반시민이 사회문제 해결형 서비스를 손쉽게 개발할 수 있도록 GPU-데이터-개발도구 등 통합 개발 환경 제공 - (AI라운지 거점운영) 일반 시민 대상으로 참여형 ‘AI 라운지’를 통해 AI기술·아이디어 논의 및 교류, 실생활 속 문제에 대한 AI 솔루션 기획·구현 지원 등 추진</f>
        <v>#NAME?</v>
      </c>
    </row>
    <row r="171" spans="1:14">
      <c r="A171" t="s">
        <v>59</v>
      </c>
      <c r="B171">
        <v>170</v>
      </c>
      <c r="C171" t="s">
        <v>292</v>
      </c>
      <c r="D171">
        <v>1361</v>
      </c>
      <c r="E171">
        <v>1370</v>
      </c>
      <c r="F171">
        <v>107570</v>
      </c>
      <c r="G171">
        <v>99335</v>
      </c>
      <c r="H171">
        <v>99335</v>
      </c>
      <c r="I171">
        <v>107415</v>
      </c>
      <c r="J171">
        <v>107415</v>
      </c>
      <c r="K171">
        <v>8080</v>
      </c>
      <c r="L171">
        <v>8.1</v>
      </c>
      <c r="M171" t="b">
        <v>0</v>
      </c>
      <c r="N171" t="s">
        <v>293</v>
      </c>
    </row>
    <row r="172" spans="1:14">
      <c r="A172" t="s">
        <v>59</v>
      </c>
      <c r="B172">
        <v>171</v>
      </c>
      <c r="C172" t="s">
        <v>294</v>
      </c>
      <c r="D172">
        <v>1371</v>
      </c>
      <c r="E172">
        <v>1381</v>
      </c>
      <c r="F172">
        <v>25985</v>
      </c>
      <c r="G172">
        <v>19490</v>
      </c>
      <c r="H172">
        <v>26230</v>
      </c>
      <c r="I172">
        <v>21591</v>
      </c>
      <c r="J172">
        <v>24606</v>
      </c>
      <c r="K172">
        <v>-1624</v>
      </c>
      <c r="L172">
        <v>-6.2</v>
      </c>
      <c r="M172" t="b">
        <v>0</v>
      </c>
      <c r="N172" t="e">
        <f ca="1">- 국가·사회적으로 중요한 정보통신시설을 주요정보통신기반시설로 지정하여 보호· 관리함으로써 국가차원의 보호체계 구축 - 정보보호 제도(정보보호관리체계 인증, 정보보호최고책임자 지정·신고) 운영, 공동주택 등의 홈네트워크 보안성 확보, 중소기업 정보보호 지원 등을 통한 안전한 정보보호 환경 조성 - 인공지능(AI) 기반 보안 기업 육성, 지역 거점 정보보호 클러스터 구축 등 정보보호 산업 육성을 통한 정보보호 기반 강화</f>
        <v>#NAME?</v>
      </c>
    </row>
    <row r="173" spans="1:14">
      <c r="A173" t="s">
        <v>59</v>
      </c>
      <c r="B173">
        <v>172</v>
      </c>
      <c r="C173" t="s">
        <v>295</v>
      </c>
      <c r="D173">
        <v>1382</v>
      </c>
      <c r="E173">
        <v>1412</v>
      </c>
      <c r="F173">
        <v>105410</v>
      </c>
      <c r="G173">
        <v>130400</v>
      </c>
      <c r="H173">
        <v>130400</v>
      </c>
      <c r="I173">
        <v>144092</v>
      </c>
      <c r="J173">
        <v>144742</v>
      </c>
      <c r="K173">
        <v>14342</v>
      </c>
      <c r="L173">
        <v>11</v>
      </c>
      <c r="M173" t="b">
        <v>0</v>
      </c>
      <c r="N173" t="s">
        <v>296</v>
      </c>
    </row>
    <row r="174" spans="1:14">
      <c r="A174" t="s">
        <v>59</v>
      </c>
      <c r="B174">
        <v>173</v>
      </c>
      <c r="C174" t="s">
        <v>297</v>
      </c>
      <c r="D174">
        <v>1413</v>
      </c>
      <c r="E174">
        <v>1419</v>
      </c>
      <c r="F174">
        <v>10000</v>
      </c>
      <c r="G174">
        <v>10000</v>
      </c>
      <c r="H174">
        <v>14000</v>
      </c>
      <c r="I174">
        <v>9875</v>
      </c>
      <c r="J174">
        <v>9875</v>
      </c>
      <c r="K174">
        <v>-125</v>
      </c>
      <c r="L174">
        <v>-1.3</v>
      </c>
      <c r="M174" t="b">
        <v>0</v>
      </c>
      <c r="N174" t="e">
        <f>- (제조업 AI융합 기반 조성) 제조데이터를 기반으로 맞춤형 AI융합 솔루션 개발·실증을 지원하여 산업의 현안을 해결하고, AI융합 솔루션의 개발·확산 지원 - 안전예방, 생산성 제고 등 현안 해결이 필요한 제조업계 수요기업의 데이터를 수집· 가공하고, AI솔루션을 개발·실증·확산하기 위한 기반 환경 조성 - 수요처 데이터를 기반으로 제조 현장의 현안 해결에 필요한 AI융합 솔루션 개발·실증</f>
        <v>#NAME?</v>
      </c>
    </row>
    <row r="175" spans="1:14">
      <c r="A175" t="s">
        <v>59</v>
      </c>
      <c r="B175">
        <v>174</v>
      </c>
      <c r="C175" t="s">
        <v>298</v>
      </c>
      <c r="D175">
        <v>1420</v>
      </c>
      <c r="E175">
        <v>1426</v>
      </c>
      <c r="F175">
        <v>3900</v>
      </c>
      <c r="G175">
        <v>3900</v>
      </c>
      <c r="I175">
        <v>3360</v>
      </c>
      <c r="J175">
        <v>3360</v>
      </c>
      <c r="K175">
        <v>-540</v>
      </c>
      <c r="L175">
        <v>-13.8</v>
      </c>
      <c r="M175" t="b">
        <v>0</v>
      </c>
      <c r="N175" t="e">
        <f>- (지능형 홈 산업 육성) 홈 IoT 기기들의 자유로운 연결과 인공지능 기반의 고체감 홈 서비스를 구현, 지능형 홈 생태계 조성을 통해 고부가 신시장 창출 및 국민 삶의질 제고 - (지능형 홈 실증·확산) 기기 간 호환성을 보장하는 국제표준과 인공지능 기반의 개인 맞춤형 고체감 지능형 홈 서비스 개발 및 실증 - (지능형 홈 기반 조성) 중소 디바이스 기업 글로벌 진출과 지능형 홈 협력 생태계 조성을 위한 글로벌 표준 국제공인시험인증기관 및 얼라이언스 구축·운영</f>
        <v>#NAME?</v>
      </c>
    </row>
    <row r="176" spans="1:14">
      <c r="A176" t="s">
        <v>59</v>
      </c>
      <c r="B176">
        <v>175</v>
      </c>
      <c r="C176" t="s">
        <v>299</v>
      </c>
      <c r="D176">
        <v>1427</v>
      </c>
      <c r="E176">
        <v>1433</v>
      </c>
      <c r="G176">
        <v>9500</v>
      </c>
      <c r="H176">
        <v>9500</v>
      </c>
      <c r="I176">
        <v>4750</v>
      </c>
      <c r="J176">
        <v>5250</v>
      </c>
      <c r="K176">
        <v>-4250</v>
      </c>
      <c r="L176">
        <v>-44.7</v>
      </c>
      <c r="M176" t="b">
        <v>0</v>
      </c>
      <c r="N176" t="s">
        <v>300</v>
      </c>
    </row>
    <row r="177" spans="1:14">
      <c r="A177" t="s">
        <v>59</v>
      </c>
      <c r="B177">
        <v>176</v>
      </c>
      <c r="C177" t="s">
        <v>301</v>
      </c>
      <c r="D177">
        <v>1434</v>
      </c>
      <c r="E177">
        <v>1439</v>
      </c>
      <c r="J177">
        <v>7920</v>
      </c>
      <c r="K177">
        <v>7920</v>
      </c>
      <c r="M177" t="b">
        <v>1</v>
      </c>
      <c r="N177" t="s">
        <v>302</v>
      </c>
    </row>
    <row r="178" spans="1:14">
      <c r="A178" t="s">
        <v>59</v>
      </c>
      <c r="B178">
        <v>177</v>
      </c>
      <c r="C178" t="s">
        <v>303</v>
      </c>
      <c r="D178">
        <v>1440</v>
      </c>
      <c r="E178">
        <v>1452</v>
      </c>
      <c r="F178">
        <v>54216</v>
      </c>
      <c r="G178">
        <v>57617</v>
      </c>
      <c r="H178">
        <v>60997</v>
      </c>
      <c r="I178">
        <v>61595</v>
      </c>
      <c r="J178">
        <v>69095</v>
      </c>
      <c r="K178">
        <v>8098</v>
      </c>
      <c r="L178">
        <v>13.3</v>
      </c>
      <c r="M178" t="b">
        <v>0</v>
      </c>
      <c r="N178" t="s">
        <v>304</v>
      </c>
    </row>
    <row r="179" spans="1:14">
      <c r="A179" t="s">
        <v>59</v>
      </c>
      <c r="B179">
        <v>178</v>
      </c>
      <c r="C179" t="s">
        <v>305</v>
      </c>
      <c r="D179">
        <v>1453</v>
      </c>
      <c r="E179">
        <v>1459</v>
      </c>
      <c r="I179">
        <v>1500</v>
      </c>
      <c r="J179">
        <v>1500</v>
      </c>
      <c r="K179">
        <v>1500</v>
      </c>
      <c r="M179" t="b">
        <v>1</v>
      </c>
      <c r="N179" t="s">
        <v>306</v>
      </c>
    </row>
    <row r="180" spans="1:14">
      <c r="A180" t="s">
        <v>59</v>
      </c>
      <c r="B180">
        <v>179</v>
      </c>
      <c r="C180" t="s">
        <v>307</v>
      </c>
      <c r="D180">
        <v>1460</v>
      </c>
      <c r="E180">
        <v>1465</v>
      </c>
      <c r="I180">
        <v>2000</v>
      </c>
      <c r="J180">
        <v>2000</v>
      </c>
      <c r="K180">
        <v>2000</v>
      </c>
      <c r="M180" t="b">
        <v>1</v>
      </c>
      <c r="N180" t="s">
        <v>308</v>
      </c>
    </row>
    <row r="181" spans="1:14">
      <c r="A181" t="s">
        <v>59</v>
      </c>
      <c r="B181">
        <v>180</v>
      </c>
      <c r="C181" t="s">
        <v>309</v>
      </c>
      <c r="D181">
        <v>1466</v>
      </c>
      <c r="E181">
        <v>1471</v>
      </c>
      <c r="I181">
        <v>4000</v>
      </c>
      <c r="J181">
        <v>4000</v>
      </c>
      <c r="K181">
        <v>4000</v>
      </c>
      <c r="M181" t="b">
        <v>1</v>
      </c>
      <c r="N181" t="s">
        <v>310</v>
      </c>
    </row>
    <row r="182" spans="1:14">
      <c r="A182" t="s">
        <v>59</v>
      </c>
      <c r="B182">
        <v>181</v>
      </c>
      <c r="C182" t="s">
        <v>311</v>
      </c>
      <c r="D182">
        <v>1472</v>
      </c>
      <c r="E182">
        <v>1479</v>
      </c>
      <c r="F182">
        <v>9000</v>
      </c>
      <c r="G182">
        <v>9000</v>
      </c>
      <c r="H182">
        <v>9000</v>
      </c>
      <c r="I182">
        <v>11500</v>
      </c>
      <c r="J182">
        <v>11500</v>
      </c>
      <c r="K182">
        <v>2500</v>
      </c>
      <c r="L182">
        <v>27.8</v>
      </c>
      <c r="M182" t="b">
        <v>0</v>
      </c>
      <c r="N182" t="s">
        <v>312</v>
      </c>
    </row>
    <row r="183" spans="1:14">
      <c r="A183" t="s">
        <v>59</v>
      </c>
      <c r="B183">
        <v>182</v>
      </c>
      <c r="C183" t="s">
        <v>313</v>
      </c>
      <c r="D183">
        <v>1480</v>
      </c>
      <c r="E183">
        <v>1484</v>
      </c>
      <c r="I183">
        <v>1000</v>
      </c>
      <c r="J183">
        <v>1000</v>
      </c>
      <c r="K183">
        <v>1000</v>
      </c>
      <c r="M183" t="b">
        <v>1</v>
      </c>
      <c r="N183" t="e">
        <f>- AI 기술로 전 산업분야의 디지털 혁신 수요가 증가함에 따라, 특화망과 제조‧물류‧농업‧의료‧교육 등 다양한 산업을 연계하여 디지털‧인공지능 전환 융합서비스를 확산하기 위한 차세대 특화망 활성화 - (장비‧단말 검증체계 구축) 수요기업‧기관의 품질 요구사항 검증하고 제조사의 효율적 개발을 지원하기 위한 장비·단말 시험체계 구축, 기능‧성능 요구사항 및 기술‧시험규격 가이드라인 개발 - (기술 실증 및 도입지원) 실증 분야별로 수요기업의 융합서비스 발굴을 지원하고, 수요기업의 특화망 도입에 앞서 컨설팅 및 사전검증 등을 선제 지원 - (추가주파수 이용기반 조성) 수요 증가 및 新유형 서비스 도입 대비 특화망 추가 주파수 공급 확대를 위한 전파환경분석 체계 구축, 이용자 협의체 구축 및 운영지침 마련 등</f>
        <v>#NAME?</v>
      </c>
    </row>
    <row r="184" spans="1:14">
      <c r="A184" t="s">
        <v>59</v>
      </c>
      <c r="B184">
        <v>183</v>
      </c>
      <c r="C184" t="s">
        <v>314</v>
      </c>
      <c r="D184">
        <v>1485</v>
      </c>
      <c r="E184">
        <v>1493</v>
      </c>
      <c r="F184">
        <v>21000</v>
      </c>
      <c r="G184">
        <v>86958</v>
      </c>
      <c r="H184">
        <v>86958</v>
      </c>
      <c r="I184">
        <v>106754</v>
      </c>
      <c r="J184">
        <v>106754</v>
      </c>
      <c r="K184">
        <v>19796</v>
      </c>
      <c r="L184">
        <v>22.8</v>
      </c>
      <c r="M184" t="b">
        <v>0</v>
      </c>
      <c r="N184" t="s">
        <v>315</v>
      </c>
    </row>
    <row r="185" spans="1:14">
      <c r="A185" t="s">
        <v>59</v>
      </c>
      <c r="B185">
        <v>184</v>
      </c>
      <c r="C185" t="s">
        <v>316</v>
      </c>
      <c r="D185">
        <v>1494</v>
      </c>
      <c r="E185">
        <v>1499</v>
      </c>
      <c r="F185">
        <v>4000</v>
      </c>
      <c r="G185">
        <v>4000</v>
      </c>
      <c r="H185">
        <v>4000</v>
      </c>
      <c r="I185">
        <v>4000</v>
      </c>
      <c r="J185">
        <v>4000</v>
      </c>
      <c r="M185" t="b">
        <v>0</v>
      </c>
      <c r="N185" t="e">
        <f>- (차세대생성AI기술개발) 생성AI모델 핵심원천기술 확보 및 現 초거대 생성AI의 한계 극복을 통한 신뢰성 있는 차세대 생성 AI 기술개발 추진</f>
        <v>#NAME?</v>
      </c>
    </row>
    <row r="186" spans="1:14">
      <c r="A186" t="s">
        <v>59</v>
      </c>
      <c r="B186">
        <v>185</v>
      </c>
      <c r="C186" t="s">
        <v>317</v>
      </c>
      <c r="D186">
        <v>1500</v>
      </c>
      <c r="E186">
        <v>1507</v>
      </c>
      <c r="F186">
        <v>27927</v>
      </c>
      <c r="G186">
        <v>19328</v>
      </c>
      <c r="I186">
        <v>18942</v>
      </c>
      <c r="J186">
        <v>18942</v>
      </c>
      <c r="K186">
        <v>-386</v>
      </c>
      <c r="L186">
        <v>-2</v>
      </c>
      <c r="M186" t="b">
        <v>0</v>
      </c>
      <c r="N186" t="e">
        <f ca="1">- (차세대지능형반도체기술개발(설계)) 반도체 산업의 새로운 성장동력인 인공지능 반도체 핵심기술 개발을 통한 글로벌수준의 기술경쟁력 확보 및 팹리스 육성 - (인공지능프로세서) 미래 인공지능 시장의 다양한 응용 서비스를 고려한 인공지능 프로세서 원천기술 확보 - (초고속인터페이스) 인공지능 반도체 성능향상을 위한 프로세서 간, 프로세서와 메모리 사이에서 대용량 데이터를 고속으로 전송하기 위한 인터페이스 기술개발 - (지능형반도체SW) 다양한 인공지능 응용분야에 대하여 인공지능 반도체의 고성능· 저전력 특성을 최적화하기 위한 컴파일러 등 지능형반도체 SW 개발</f>
        <v>#NAME?</v>
      </c>
    </row>
    <row r="187" spans="1:14">
      <c r="A187" t="s">
        <v>59</v>
      </c>
      <c r="B187">
        <v>186</v>
      </c>
      <c r="C187" t="s">
        <v>318</v>
      </c>
      <c r="D187">
        <v>1508</v>
      </c>
      <c r="E187">
        <v>1513</v>
      </c>
      <c r="I187">
        <v>3675</v>
      </c>
      <c r="J187">
        <v>3675</v>
      </c>
      <c r="K187">
        <v>3675</v>
      </c>
      <c r="M187" t="b">
        <v>1</v>
      </c>
      <c r="N187" t="s">
        <v>319</v>
      </c>
    </row>
    <row r="188" spans="1:14">
      <c r="A188" t="s">
        <v>59</v>
      </c>
      <c r="B188">
        <v>187</v>
      </c>
      <c r="C188" t="s">
        <v>320</v>
      </c>
      <c r="D188">
        <v>1514</v>
      </c>
      <c r="E188">
        <v>1521</v>
      </c>
      <c r="F188">
        <v>4000</v>
      </c>
      <c r="G188">
        <v>4000</v>
      </c>
      <c r="H188">
        <v>4000</v>
      </c>
      <c r="I188">
        <v>3600</v>
      </c>
      <c r="J188">
        <v>3600</v>
      </c>
      <c r="K188">
        <v>-400</v>
      </c>
      <c r="L188">
        <v>-10</v>
      </c>
      <c r="M188" t="b">
        <v>0</v>
      </c>
      <c r="N188" t="s">
        <v>321</v>
      </c>
    </row>
    <row r="189" spans="1:14">
      <c r="A189" t="s">
        <v>59</v>
      </c>
      <c r="B189">
        <v>188</v>
      </c>
      <c r="C189" t="s">
        <v>322</v>
      </c>
      <c r="D189">
        <v>1522</v>
      </c>
      <c r="E189">
        <v>1527</v>
      </c>
      <c r="I189">
        <v>4500</v>
      </c>
      <c r="J189">
        <v>4500</v>
      </c>
      <c r="K189">
        <v>4500</v>
      </c>
      <c r="M189" t="b">
        <v>1</v>
      </c>
      <c r="N189" t="e">
        <f>- (초거대산업AI연구지원) 울산의 제조 인프라를 바탕으로 산업별 연구용 데이터 수집· 분석 및 초거대 산업AI 개발, 현장 실증 등 산업 현장 문제해결형 AI 연구 추진</f>
        <v>#NAME?</v>
      </c>
    </row>
    <row r="190" spans="1:14">
      <c r="A190" t="s">
        <v>59</v>
      </c>
      <c r="B190">
        <v>189</v>
      </c>
      <c r="C190" t="s">
        <v>323</v>
      </c>
      <c r="D190">
        <v>1528</v>
      </c>
      <c r="E190">
        <v>1533</v>
      </c>
      <c r="I190">
        <v>2000</v>
      </c>
      <c r="J190">
        <v>2000</v>
      </c>
      <c r="K190">
        <v>2000</v>
      </c>
      <c r="M190" t="b">
        <v>1</v>
      </c>
      <c r="N190" t="e">
        <f>- (초고층 복합시설 복합재난관리 디지털플랫폼 기술개발) 지상ㆍ지하 공간이 상호 연계된 도심지 복합공간에서의 재난 회복력 강화를 위한 예측ㆍ예방 중심의 초고층 복합시설 복합재난관리 디지털플랫폼 개발 - (인공지능기반 복합 재난관리 통합 플랫폼 기술개발) 초고층 복합시설에서 재난상황 인지 및 의사결정지원정보 추론이 가능한 인공지능 기반 전주기 재난안전관리 기술 연구 및 플랫폼 개발</f>
        <v>#NAME?</v>
      </c>
    </row>
    <row r="191" spans="1:14">
      <c r="A191" t="s">
        <v>59</v>
      </c>
      <c r="B191">
        <v>190</v>
      </c>
      <c r="C191" t="s">
        <v>324</v>
      </c>
      <c r="D191">
        <v>1534</v>
      </c>
      <c r="E191">
        <v>1540</v>
      </c>
      <c r="H191">
        <v>5000</v>
      </c>
      <c r="I191">
        <v>10000</v>
      </c>
      <c r="J191">
        <v>10000</v>
      </c>
      <c r="K191">
        <v>5000</v>
      </c>
      <c r="L191">
        <v>100</v>
      </c>
      <c r="M191" t="b">
        <v>1</v>
      </c>
      <c r="N191" t="e">
        <f>- (최고급AI해외인재유치지원) 기업 등이 해외 AI 우수연구자를 유치하여 도전적 AI 프로젝트 수행을 통해 우수성과를 창출하고, AI 고급인재 양성 및 글로벌 협력 네트워크 구축 등 AI 연구생태계 조성 기여</f>
        <v>#NAME?</v>
      </c>
    </row>
    <row r="192" spans="1:14">
      <c r="A192" t="s">
        <v>59</v>
      </c>
      <c r="B192">
        <v>191</v>
      </c>
      <c r="C192" t="s">
        <v>325</v>
      </c>
      <c r="D192">
        <v>1541</v>
      </c>
      <c r="E192">
        <v>1546</v>
      </c>
      <c r="I192">
        <v>1650</v>
      </c>
      <c r="J192">
        <v>1650</v>
      </c>
      <c r="K192">
        <v>1650</v>
      </c>
      <c r="M192" t="b">
        <v>1</v>
      </c>
      <c r="N192" t="e">
        <f>- (치매의료기술연구개발사업) AI·빅데이터 기반의 정밀의료를 활용한 치매 원인 규명, 조기 진단 및 맞춤형 치료·예방기술 개발을 통한 전주기 혁신적 연구개발 추진 - (내역_차세대 치매연구 및 기술개발) AI 및 융합기술 기반으로 기발굴된 치매 발 병기전 외 다각적인 원인 규명과 신규 바이오마커 및 치매치료제 후보물질 발굴 · (AI 및 융합기술 기반 치매 신규타겟·바이오마커·유효 선도물질 발굴) AI 통합 분석 기술 등을 활용하여 새롭게 등장하는 치매 발병 위험요인 및 보호인자 탐색·기전 규명, 정밀 진단용 바이오마커 고도화, 치매 치료제 투여 환자 선별마커 등 신규 바이오마커 발굴 · (후보 치매약물 효과 시험·검증) 다양한 치매 원인 규명 및 병태생리학적 연관성에기반 하여 GLP 연계가 가능한 근원적 치매 치료제 후보 물질을 발굴 및 초기 검증 수행</f>
        <v>#NAME?</v>
      </c>
    </row>
    <row r="193" spans="1:14">
      <c r="A193" t="s">
        <v>59</v>
      </c>
      <c r="B193">
        <v>192</v>
      </c>
      <c r="C193" t="s">
        <v>326</v>
      </c>
      <c r="D193">
        <v>1547</v>
      </c>
      <c r="E193">
        <v>1552</v>
      </c>
      <c r="G193">
        <v>4000</v>
      </c>
      <c r="I193">
        <v>5330</v>
      </c>
      <c r="J193">
        <v>5330</v>
      </c>
      <c r="K193">
        <v>1330</v>
      </c>
      <c r="L193">
        <v>33.299999999999997</v>
      </c>
      <c r="M193" t="b">
        <v>0</v>
      </c>
      <c r="N193" t="s">
        <v>327</v>
      </c>
    </row>
    <row r="194" spans="1:14">
      <c r="A194" t="s">
        <v>59</v>
      </c>
      <c r="B194">
        <v>193</v>
      </c>
      <c r="C194" t="s">
        <v>328</v>
      </c>
      <c r="D194">
        <v>1553</v>
      </c>
      <c r="E194">
        <v>1557</v>
      </c>
      <c r="I194">
        <v>4500</v>
      </c>
      <c r="J194">
        <v>4500</v>
      </c>
      <c r="K194">
        <v>4500</v>
      </c>
      <c r="M194" t="b">
        <v>1</v>
      </c>
      <c r="N194" t="s">
        <v>329</v>
      </c>
    </row>
    <row r="195" spans="1:14">
      <c r="A195" t="s">
        <v>59</v>
      </c>
      <c r="B195">
        <v>194</v>
      </c>
      <c r="C195" t="s">
        <v>330</v>
      </c>
      <c r="D195">
        <v>1558</v>
      </c>
      <c r="E195">
        <v>1568</v>
      </c>
      <c r="F195">
        <v>75701</v>
      </c>
      <c r="G195">
        <v>39508</v>
      </c>
      <c r="H195">
        <v>39508</v>
      </c>
      <c r="I195">
        <v>15000</v>
      </c>
      <c r="J195">
        <v>15000</v>
      </c>
      <c r="K195">
        <v>-24508</v>
      </c>
      <c r="L195">
        <v>-62</v>
      </c>
      <c r="M195" t="b">
        <v>0</v>
      </c>
      <c r="N195" t="s">
        <v>331</v>
      </c>
    </row>
    <row r="196" spans="1:14">
      <c r="A196" t="s">
        <v>59</v>
      </c>
      <c r="B196">
        <v>195</v>
      </c>
      <c r="C196" t="s">
        <v>332</v>
      </c>
      <c r="D196">
        <v>1569</v>
      </c>
      <c r="E196">
        <v>1573</v>
      </c>
      <c r="I196">
        <v>15000</v>
      </c>
      <c r="J196">
        <v>15000</v>
      </c>
      <c r="K196">
        <v>15000</v>
      </c>
      <c r="M196" t="b">
        <v>1</v>
      </c>
      <c r="N196" t="e">
        <f>- (피지컬 AI 선도기술개발) 공간, 환경 등 물리세계를 인식, 판단하고 능동적으로 동작 하는 피지컬 AI 구현을 위해 실제 세계의 환경상태와 물리법칙을 유사하게 제공하는 월드모델 개발과 이에 기반한 가상공간에서의 시뮬레이션, 학습 등 선도 기술 개발</f>
        <v>#NAME?</v>
      </c>
    </row>
    <row r="197" spans="1:14">
      <c r="A197" t="s">
        <v>59</v>
      </c>
      <c r="B197">
        <v>196</v>
      </c>
      <c r="C197" t="s">
        <v>333</v>
      </c>
      <c r="D197">
        <v>1574</v>
      </c>
      <c r="E197">
        <v>1583</v>
      </c>
      <c r="F197">
        <v>58087</v>
      </c>
      <c r="G197">
        <v>66604</v>
      </c>
      <c r="H197">
        <v>66604</v>
      </c>
      <c r="I197">
        <v>86433</v>
      </c>
      <c r="J197">
        <v>86433</v>
      </c>
      <c r="K197">
        <v>19829</v>
      </c>
      <c r="L197">
        <v>29.8</v>
      </c>
      <c r="M197" t="b">
        <v>0</v>
      </c>
      <c r="N197" t="s">
        <v>334</v>
      </c>
    </row>
    <row r="198" spans="1:14">
      <c r="A198" t="s">
        <v>59</v>
      </c>
      <c r="B198">
        <v>197</v>
      </c>
      <c r="C198" t="s">
        <v>335</v>
      </c>
      <c r="D198">
        <v>1584</v>
      </c>
      <c r="E198">
        <v>1596</v>
      </c>
      <c r="F198">
        <v>181396</v>
      </c>
      <c r="G198">
        <v>203744</v>
      </c>
      <c r="H198">
        <v>203744</v>
      </c>
      <c r="I198">
        <v>241008</v>
      </c>
      <c r="J198">
        <v>244008</v>
      </c>
      <c r="K198">
        <v>40264</v>
      </c>
      <c r="L198">
        <v>19.8</v>
      </c>
      <c r="M198" t="b">
        <v>0</v>
      </c>
      <c r="N198" t="s">
        <v>336</v>
      </c>
    </row>
    <row r="199" spans="1:14">
      <c r="A199" t="s">
        <v>59</v>
      </c>
      <c r="B199">
        <v>198</v>
      </c>
      <c r="C199" t="s">
        <v>337</v>
      </c>
      <c r="D199">
        <v>1597</v>
      </c>
      <c r="E199">
        <v>1606</v>
      </c>
      <c r="F199">
        <v>207269</v>
      </c>
      <c r="G199">
        <v>218356</v>
      </c>
      <c r="H199">
        <v>233356</v>
      </c>
      <c r="I199">
        <v>287242</v>
      </c>
      <c r="J199">
        <v>297077</v>
      </c>
      <c r="K199">
        <v>78721</v>
      </c>
      <c r="L199">
        <v>36.1</v>
      </c>
      <c r="M199" t="b">
        <v>0</v>
      </c>
      <c r="N199" t="s">
        <v>338</v>
      </c>
    </row>
    <row r="200" spans="1:14">
      <c r="A200" t="s">
        <v>59</v>
      </c>
      <c r="B200">
        <v>199</v>
      </c>
      <c r="C200" t="s">
        <v>339</v>
      </c>
      <c r="D200">
        <v>1607</v>
      </c>
      <c r="E200">
        <v>1620</v>
      </c>
      <c r="F200">
        <v>90276</v>
      </c>
      <c r="G200">
        <v>102966</v>
      </c>
      <c r="H200">
        <v>102966</v>
      </c>
      <c r="I200">
        <v>112476</v>
      </c>
      <c r="J200">
        <v>112476</v>
      </c>
      <c r="K200">
        <v>9510</v>
      </c>
      <c r="L200">
        <v>9.1999999999999993</v>
      </c>
      <c r="M200" t="b">
        <v>0</v>
      </c>
      <c r="N200" t="s">
        <v>340</v>
      </c>
    </row>
    <row r="201" spans="1:14">
      <c r="A201" t="s">
        <v>59</v>
      </c>
      <c r="B201">
        <v>200</v>
      </c>
      <c r="C201" t="s">
        <v>341</v>
      </c>
      <c r="D201">
        <v>1621</v>
      </c>
      <c r="E201">
        <v>1632</v>
      </c>
      <c r="F201">
        <v>61381</v>
      </c>
      <c r="G201">
        <v>70042</v>
      </c>
      <c r="H201">
        <v>70042</v>
      </c>
      <c r="I201">
        <v>85485</v>
      </c>
      <c r="J201">
        <v>85485</v>
      </c>
      <c r="K201">
        <v>15443</v>
      </c>
      <c r="L201">
        <v>22</v>
      </c>
      <c r="M201" t="b">
        <v>0</v>
      </c>
      <c r="N201" t="s">
        <v>342</v>
      </c>
    </row>
    <row r="202" spans="1:14">
      <c r="A202" t="s">
        <v>59</v>
      </c>
      <c r="B202">
        <v>201</v>
      </c>
      <c r="C202" t="s">
        <v>343</v>
      </c>
      <c r="D202">
        <v>1633</v>
      </c>
      <c r="E202">
        <v>1640</v>
      </c>
      <c r="F202">
        <v>63662</v>
      </c>
      <c r="G202">
        <v>75726</v>
      </c>
      <c r="H202">
        <v>75726</v>
      </c>
      <c r="I202">
        <v>79917</v>
      </c>
      <c r="J202">
        <v>79917</v>
      </c>
      <c r="K202">
        <v>4191</v>
      </c>
      <c r="L202">
        <v>5.5</v>
      </c>
      <c r="M202" t="b">
        <v>0</v>
      </c>
      <c r="N202" t="s">
        <v>344</v>
      </c>
    </row>
    <row r="203" spans="1:14">
      <c r="A203" t="s">
        <v>59</v>
      </c>
      <c r="B203">
        <v>202</v>
      </c>
      <c r="C203" t="s">
        <v>345</v>
      </c>
      <c r="D203">
        <v>1641</v>
      </c>
      <c r="E203">
        <v>1649</v>
      </c>
      <c r="F203">
        <v>34814</v>
      </c>
      <c r="G203">
        <v>37984</v>
      </c>
      <c r="H203">
        <v>37984</v>
      </c>
      <c r="I203">
        <v>40369</v>
      </c>
      <c r="J203">
        <v>40369</v>
      </c>
      <c r="K203">
        <v>2385</v>
      </c>
      <c r="L203">
        <v>6.3</v>
      </c>
      <c r="M203" t="b">
        <v>0</v>
      </c>
      <c r="N203" t="s">
        <v>346</v>
      </c>
    </row>
    <row r="204" spans="1:14">
      <c r="A204" t="s">
        <v>59</v>
      </c>
      <c r="B204">
        <v>203</v>
      </c>
      <c r="C204" t="s">
        <v>347</v>
      </c>
      <c r="D204">
        <v>1650</v>
      </c>
      <c r="E204">
        <v>1656</v>
      </c>
      <c r="G204">
        <v>21000</v>
      </c>
      <c r="I204">
        <v>11800</v>
      </c>
      <c r="J204">
        <v>11800</v>
      </c>
      <c r="K204">
        <v>-9200</v>
      </c>
      <c r="L204">
        <v>-43.8</v>
      </c>
      <c r="M204" t="b">
        <v>0</v>
      </c>
      <c r="N204" t="s">
        <v>348</v>
      </c>
    </row>
    <row r="205" spans="1:14">
      <c r="A205" t="s">
        <v>59</v>
      </c>
      <c r="B205">
        <v>204</v>
      </c>
      <c r="C205" t="s">
        <v>349</v>
      </c>
      <c r="D205">
        <v>1657</v>
      </c>
      <c r="E205">
        <v>1665</v>
      </c>
      <c r="F205">
        <v>80531</v>
      </c>
      <c r="G205">
        <v>94484</v>
      </c>
      <c r="H205">
        <v>94484</v>
      </c>
      <c r="I205">
        <v>105590</v>
      </c>
      <c r="J205">
        <v>105590</v>
      </c>
      <c r="K205">
        <v>11106</v>
      </c>
      <c r="L205">
        <v>11.8</v>
      </c>
      <c r="M205" t="b">
        <v>0</v>
      </c>
      <c r="N205" t="s">
        <v>350</v>
      </c>
    </row>
    <row r="206" spans="1:14">
      <c r="A206" t="s">
        <v>59</v>
      </c>
      <c r="B206">
        <v>205</v>
      </c>
      <c r="C206" t="s">
        <v>351</v>
      </c>
      <c r="D206">
        <v>1666</v>
      </c>
      <c r="E206">
        <v>1673</v>
      </c>
      <c r="F206">
        <v>104326</v>
      </c>
      <c r="G206">
        <v>116405</v>
      </c>
      <c r="H206">
        <v>116405</v>
      </c>
      <c r="I206">
        <v>149825</v>
      </c>
      <c r="J206">
        <v>149825</v>
      </c>
      <c r="K206">
        <v>33420</v>
      </c>
      <c r="L206">
        <v>28.7</v>
      </c>
      <c r="M206" t="b">
        <v>0</v>
      </c>
      <c r="N206" t="s">
        <v>352</v>
      </c>
    </row>
    <row r="207" spans="1:14">
      <c r="A207" t="s">
        <v>59</v>
      </c>
      <c r="B207">
        <v>206</v>
      </c>
      <c r="C207" t="s">
        <v>353</v>
      </c>
      <c r="D207">
        <v>1674</v>
      </c>
      <c r="E207">
        <v>1682</v>
      </c>
      <c r="F207">
        <v>38875</v>
      </c>
      <c r="G207">
        <v>44029</v>
      </c>
      <c r="H207">
        <v>44029</v>
      </c>
      <c r="I207">
        <v>49548</v>
      </c>
      <c r="J207">
        <v>49548</v>
      </c>
      <c r="K207">
        <v>5519</v>
      </c>
      <c r="L207">
        <v>12.5</v>
      </c>
      <c r="M207" t="b">
        <v>0</v>
      </c>
      <c r="N207" t="s">
        <v>354</v>
      </c>
    </row>
    <row r="208" spans="1:14">
      <c r="A208" t="s">
        <v>59</v>
      </c>
      <c r="B208">
        <v>207</v>
      </c>
      <c r="C208" t="s">
        <v>355</v>
      </c>
      <c r="D208">
        <v>1683</v>
      </c>
      <c r="E208">
        <v>1693</v>
      </c>
      <c r="F208">
        <v>73769</v>
      </c>
      <c r="G208">
        <v>83524</v>
      </c>
      <c r="H208">
        <v>83524</v>
      </c>
      <c r="I208">
        <v>93927</v>
      </c>
      <c r="J208">
        <v>93927</v>
      </c>
      <c r="K208">
        <v>10403</v>
      </c>
      <c r="L208">
        <v>12.5</v>
      </c>
      <c r="M208" t="b">
        <v>0</v>
      </c>
      <c r="N208" t="s">
        <v>356</v>
      </c>
    </row>
    <row r="209" spans="1:14">
      <c r="A209" t="s">
        <v>59</v>
      </c>
      <c r="B209">
        <v>208</v>
      </c>
      <c r="C209" t="s">
        <v>357</v>
      </c>
      <c r="D209">
        <v>1694</v>
      </c>
      <c r="E209">
        <v>1704</v>
      </c>
      <c r="F209">
        <v>140717</v>
      </c>
      <c r="G209">
        <v>154061</v>
      </c>
      <c r="H209">
        <v>154061</v>
      </c>
      <c r="I209">
        <v>165256</v>
      </c>
      <c r="J209">
        <v>171326</v>
      </c>
      <c r="K209">
        <v>17265</v>
      </c>
      <c r="L209">
        <v>11.2</v>
      </c>
      <c r="M209" t="b">
        <v>0</v>
      </c>
      <c r="N209" t="s">
        <v>358</v>
      </c>
    </row>
    <row r="210" spans="1:14">
      <c r="A210" t="s">
        <v>59</v>
      </c>
      <c r="B210">
        <v>209</v>
      </c>
      <c r="C210" t="s">
        <v>359</v>
      </c>
      <c r="D210">
        <v>1705</v>
      </c>
      <c r="E210">
        <v>1714</v>
      </c>
      <c r="F210">
        <v>40949</v>
      </c>
      <c r="G210">
        <v>47636</v>
      </c>
      <c r="H210">
        <v>47636</v>
      </c>
      <c r="I210">
        <v>56196</v>
      </c>
      <c r="J210">
        <v>56196</v>
      </c>
      <c r="K210">
        <v>8560</v>
      </c>
      <c r="L210">
        <v>18</v>
      </c>
      <c r="M210" t="b">
        <v>0</v>
      </c>
      <c r="N210" t="s">
        <v>360</v>
      </c>
    </row>
    <row r="211" spans="1:14">
      <c r="A211" t="s">
        <v>59</v>
      </c>
      <c r="B211">
        <v>210</v>
      </c>
      <c r="C211" t="s">
        <v>361</v>
      </c>
      <c r="D211">
        <v>1715</v>
      </c>
      <c r="E211">
        <v>1730</v>
      </c>
      <c r="F211">
        <v>98670</v>
      </c>
      <c r="G211">
        <v>112587</v>
      </c>
      <c r="H211">
        <v>112587</v>
      </c>
      <c r="I211">
        <v>159323</v>
      </c>
      <c r="J211">
        <v>169219</v>
      </c>
      <c r="K211">
        <v>56632</v>
      </c>
      <c r="L211">
        <v>50.3</v>
      </c>
      <c r="M211" t="b">
        <v>0</v>
      </c>
      <c r="N211" t="s">
        <v>362</v>
      </c>
    </row>
    <row r="212" spans="1:14">
      <c r="A212" t="s">
        <v>59</v>
      </c>
      <c r="B212">
        <v>211</v>
      </c>
      <c r="C212" t="s">
        <v>363</v>
      </c>
      <c r="D212">
        <v>1731</v>
      </c>
      <c r="E212">
        <v>1738</v>
      </c>
      <c r="F212">
        <v>81793</v>
      </c>
      <c r="G212">
        <v>96119</v>
      </c>
      <c r="H212">
        <v>96119</v>
      </c>
      <c r="I212">
        <v>103475</v>
      </c>
      <c r="J212">
        <v>103475</v>
      </c>
      <c r="K212">
        <v>7356</v>
      </c>
      <c r="L212">
        <v>7.7</v>
      </c>
      <c r="M212" t="b">
        <v>0</v>
      </c>
      <c r="N212" t="s">
        <v>364</v>
      </c>
    </row>
    <row r="213" spans="1:14">
      <c r="A213" t="s">
        <v>59</v>
      </c>
      <c r="B213">
        <v>212</v>
      </c>
      <c r="C213" t="s">
        <v>365</v>
      </c>
      <c r="D213">
        <v>1739</v>
      </c>
      <c r="E213">
        <v>1748</v>
      </c>
      <c r="F213">
        <v>49794</v>
      </c>
      <c r="G213">
        <v>57455</v>
      </c>
      <c r="H213">
        <v>57455</v>
      </c>
      <c r="I213">
        <v>64378</v>
      </c>
      <c r="J213">
        <v>64378</v>
      </c>
      <c r="K213">
        <v>6923</v>
      </c>
      <c r="L213">
        <v>12</v>
      </c>
      <c r="M213" t="b">
        <v>0</v>
      </c>
      <c r="N213" t="s">
        <v>366</v>
      </c>
    </row>
    <row r="214" spans="1:14">
      <c r="A214" t="s">
        <v>59</v>
      </c>
      <c r="B214">
        <v>213</v>
      </c>
      <c r="C214" t="s">
        <v>367</v>
      </c>
      <c r="D214">
        <v>1749</v>
      </c>
      <c r="E214">
        <v>1761</v>
      </c>
      <c r="F214">
        <v>83981</v>
      </c>
      <c r="G214">
        <v>97218</v>
      </c>
      <c r="H214">
        <v>97218</v>
      </c>
      <c r="I214">
        <v>109909</v>
      </c>
      <c r="J214">
        <v>110909</v>
      </c>
      <c r="K214">
        <v>13691</v>
      </c>
      <c r="L214">
        <v>14.1</v>
      </c>
      <c r="M214" t="b">
        <v>0</v>
      </c>
      <c r="N214" t="s">
        <v>368</v>
      </c>
    </row>
    <row r="215" spans="1:14">
      <c r="A215" t="s">
        <v>59</v>
      </c>
      <c r="B215">
        <v>214</v>
      </c>
      <c r="C215" t="s">
        <v>369</v>
      </c>
      <c r="D215">
        <v>1762</v>
      </c>
      <c r="E215">
        <v>1771</v>
      </c>
      <c r="F215">
        <v>83711</v>
      </c>
      <c r="G215">
        <v>95657</v>
      </c>
      <c r="H215">
        <v>95657</v>
      </c>
      <c r="I215">
        <v>96122</v>
      </c>
      <c r="J215">
        <v>96122</v>
      </c>
      <c r="K215">
        <v>465</v>
      </c>
      <c r="L215">
        <v>0.5</v>
      </c>
      <c r="M215" t="b">
        <v>0</v>
      </c>
      <c r="N215" t="s">
        <v>370</v>
      </c>
    </row>
    <row r="216" spans="1:14">
      <c r="A216" t="s">
        <v>59</v>
      </c>
      <c r="B216">
        <v>215</v>
      </c>
      <c r="C216" t="s">
        <v>371</v>
      </c>
      <c r="D216">
        <v>1772</v>
      </c>
      <c r="E216">
        <v>1780</v>
      </c>
      <c r="F216">
        <v>73187</v>
      </c>
      <c r="G216">
        <v>83863</v>
      </c>
      <c r="H216">
        <v>83863</v>
      </c>
      <c r="I216">
        <v>99509</v>
      </c>
      <c r="J216">
        <v>99509</v>
      </c>
      <c r="K216">
        <v>15646</v>
      </c>
      <c r="L216">
        <v>18.7</v>
      </c>
      <c r="M216" t="b">
        <v>0</v>
      </c>
      <c r="N216" t="s">
        <v>372</v>
      </c>
    </row>
    <row r="217" spans="1:14">
      <c r="A217" t="s">
        <v>59</v>
      </c>
      <c r="B217">
        <v>216</v>
      </c>
      <c r="C217" t="s">
        <v>373</v>
      </c>
      <c r="D217">
        <v>1781</v>
      </c>
      <c r="E217">
        <v>1786</v>
      </c>
      <c r="I217">
        <v>3000</v>
      </c>
      <c r="J217">
        <v>3000</v>
      </c>
      <c r="K217">
        <v>3000</v>
      </c>
      <c r="M217" t="b">
        <v>1</v>
      </c>
      <c r="N217" t="e">
        <f>- (사업목적) 초고령사회 현안 해결과 신시장 창출을 목표로 AX 기반 에이지테크 제품 및 서비스의 실증, 사업화, 글로벌 진출을 지원하는 실증거점 구축 - (사업내용) 초고령화 지역 대상 AX 에이지테크 테스트베드 조성 및 관련 기업의 실증, 사업화, 글로벌화를 지원하고 실생활·고령층 기술보급 확산</f>
        <v>#NAME?</v>
      </c>
    </row>
    <row r="218" spans="1:14">
      <c r="A218" t="s">
        <v>59</v>
      </c>
      <c r="B218">
        <v>217</v>
      </c>
      <c r="C218" t="s">
        <v>374</v>
      </c>
      <c r="D218">
        <v>1787</v>
      </c>
      <c r="E218">
        <v>1794</v>
      </c>
      <c r="F218">
        <v>62125</v>
      </c>
      <c r="G218">
        <v>57885</v>
      </c>
      <c r="H218">
        <v>73585</v>
      </c>
      <c r="I218">
        <v>66097</v>
      </c>
      <c r="J218">
        <v>63252</v>
      </c>
      <c r="K218">
        <v>-10333</v>
      </c>
      <c r="L218">
        <v>-14</v>
      </c>
      <c r="M218" t="b">
        <v>0</v>
      </c>
      <c r="N218" t="s">
        <v>375</v>
      </c>
    </row>
    <row r="219" spans="1:14">
      <c r="A219" t="s">
        <v>59</v>
      </c>
      <c r="B219">
        <v>218</v>
      </c>
      <c r="C219" t="s">
        <v>376</v>
      </c>
      <c r="D219">
        <v>1795</v>
      </c>
      <c r="E219">
        <v>1800</v>
      </c>
      <c r="I219">
        <v>40000</v>
      </c>
      <c r="J219">
        <v>76666</v>
      </c>
      <c r="K219">
        <v>76666</v>
      </c>
      <c r="M219" t="b">
        <v>1</v>
      </c>
      <c r="N219" t="e">
        <f ca="1">- 국내 강점 산업에 특화된 협업지능 피지컬AI 기반 SW플랫폼(AI모델, 시뮬레이션, 제어, 표준화 등) 개발로 글로벌 기술표준 선점 및 AI메타팩토리* 기반기술 확보 * 현대차 싱가포르 무인공장(HMGICs) 모델 기반 국산·경량화 SDF 기술을 구현, 국내 제조 기업의 피지컬AI 기술 검증·확산을 지원하는 파일럿 팩토리</f>
        <v>#NAME?</v>
      </c>
    </row>
    <row r="220" spans="1:14">
      <c r="A220" t="s">
        <v>377</v>
      </c>
      <c r="B220">
        <v>219</v>
      </c>
      <c r="C220" t="s">
        <v>378</v>
      </c>
      <c r="D220">
        <v>1801</v>
      </c>
      <c r="E220">
        <v>1813</v>
      </c>
      <c r="F220">
        <v>77943</v>
      </c>
      <c r="G220">
        <v>63638</v>
      </c>
      <c r="H220">
        <v>63638</v>
      </c>
      <c r="J220">
        <v>63129</v>
      </c>
      <c r="K220">
        <v>-509</v>
      </c>
      <c r="L220">
        <v>-0.8</v>
      </c>
      <c r="M220" t="b">
        <v>0</v>
      </c>
      <c r="N220" t="e">
        <f ca="1">- (국가관세망 노후장비 교체) 기존의 국가관세망 통합시스템 노후화로 안정적 운영의 한계, 장비 노후화로 신규장비로 교체 - (시스템 구축) 기존 정보시스템 기능과 성능개선, 지능형정보기술 등을 활용하여 정보 시스템을 구축, 신속·정확한 통관서비스 제고 및 국민에게 다양한 맞춤형 서비스 제공 - (관세정보시스템 운영) 관세정보시스템 운영에 필요한 상용SW 등 도입 비용(출연) - (관세정보시스템 유지관리) 관세정보시스템 유지관리 업무를 민간에 위탁(출연) - (행정정보시스템 유지관리) 기관홈페이지, 정보분석, 세관직원용 내부정보시스템 등 유지관리 업무를 민간에 위탁 - (전산장비 도입) 정보시스템 도입·구축에 따른 전산장비, 다기능 사무기기, 노후 통신장비 교체 등 정보 인프라 도입 운영 - (세관 정보화 지원) 통신망 사용에 따른 공공요금, 관세청 및 산하세관에 네트워크 공사, 전산소모품 등 최적의 정보화 환경 지원</f>
        <v>#NAME?</v>
      </c>
    </row>
    <row r="221" spans="1:14">
      <c r="A221" t="s">
        <v>379</v>
      </c>
      <c r="B221">
        <v>220</v>
      </c>
      <c r="C221" t="s">
        <v>380</v>
      </c>
      <c r="D221">
        <v>1814</v>
      </c>
      <c r="E221">
        <v>1822</v>
      </c>
      <c r="F221">
        <v>524684</v>
      </c>
      <c r="G221">
        <v>522478</v>
      </c>
      <c r="H221">
        <v>523764</v>
      </c>
      <c r="I221">
        <v>541546</v>
      </c>
      <c r="J221">
        <v>541546</v>
      </c>
      <c r="K221">
        <v>17782</v>
      </c>
      <c r="L221">
        <v>3.4</v>
      </c>
      <c r="M221" t="b">
        <v>0</v>
      </c>
      <c r="N221" t="s">
        <v>381</v>
      </c>
    </row>
    <row r="222" spans="1:14">
      <c r="A222" t="s">
        <v>379</v>
      </c>
      <c r="B222">
        <v>221</v>
      </c>
      <c r="C222" t="s">
        <v>382</v>
      </c>
      <c r="D222">
        <v>1823</v>
      </c>
      <c r="E222">
        <v>1827</v>
      </c>
      <c r="I222">
        <v>305</v>
      </c>
      <c r="J222">
        <v>200</v>
      </c>
      <c r="K222">
        <v>200</v>
      </c>
      <c r="M222" t="b">
        <v>1</v>
      </c>
      <c r="N222" t="e">
        <f>- 한국방송통신대학교에 AI 기반 원격교육 플랫폼을 구축하여 고등·평생교육의 질 제고 및 전국민 역량 강화 지원</f>
        <v>#NAME?</v>
      </c>
    </row>
    <row r="223" spans="1:14">
      <c r="A223" t="s">
        <v>379</v>
      </c>
      <c r="B223">
        <v>222</v>
      </c>
      <c r="C223" t="s">
        <v>383</v>
      </c>
      <c r="D223">
        <v>1828</v>
      </c>
      <c r="E223">
        <v>1838</v>
      </c>
      <c r="F223">
        <v>327</v>
      </c>
      <c r="G223">
        <v>1673</v>
      </c>
      <c r="H223">
        <v>1673</v>
      </c>
      <c r="I223">
        <v>2064</v>
      </c>
      <c r="J223">
        <v>2064</v>
      </c>
      <c r="K223">
        <v>391</v>
      </c>
      <c r="L223">
        <v>23.4</v>
      </c>
      <c r="M223" t="b">
        <v>0</v>
      </c>
      <c r="N223" t="s">
        <v>384</v>
      </c>
    </row>
    <row r="224" spans="1:14">
      <c r="A224" t="s">
        <v>379</v>
      </c>
      <c r="B224">
        <v>223</v>
      </c>
      <c r="C224" t="s">
        <v>385</v>
      </c>
      <c r="D224">
        <v>1839</v>
      </c>
      <c r="E224">
        <v>1846</v>
      </c>
      <c r="F224">
        <v>572200</v>
      </c>
      <c r="G224">
        <v>424300</v>
      </c>
      <c r="H224">
        <v>424300</v>
      </c>
      <c r="I224">
        <v>873550</v>
      </c>
      <c r="J224">
        <v>873550</v>
      </c>
      <c r="K224">
        <v>449250</v>
      </c>
      <c r="L224">
        <v>105.9</v>
      </c>
      <c r="M224" t="b">
        <v>0</v>
      </c>
      <c r="N224" t="s">
        <v>386</v>
      </c>
    </row>
    <row r="225" spans="1:14">
      <c r="A225" t="s">
        <v>379</v>
      </c>
      <c r="B225">
        <v>224</v>
      </c>
      <c r="C225" t="s">
        <v>387</v>
      </c>
      <c r="D225">
        <v>1847</v>
      </c>
      <c r="E225">
        <v>1852</v>
      </c>
      <c r="I225">
        <v>11840</v>
      </c>
      <c r="J225">
        <v>8840</v>
      </c>
      <c r="K225">
        <v>8840</v>
      </c>
      <c r="M225" t="b">
        <v>1</v>
      </c>
      <c r="N225" t="s">
        <v>388</v>
      </c>
    </row>
    <row r="226" spans="1:14">
      <c r="A226" t="s">
        <v>379</v>
      </c>
      <c r="B226">
        <v>225</v>
      </c>
      <c r="C226" t="s">
        <v>389</v>
      </c>
      <c r="D226">
        <v>1853</v>
      </c>
      <c r="E226">
        <v>1861</v>
      </c>
      <c r="F226">
        <v>2936</v>
      </c>
      <c r="G226">
        <v>2816</v>
      </c>
      <c r="H226">
        <v>2816</v>
      </c>
      <c r="I226">
        <v>10531</v>
      </c>
      <c r="J226">
        <v>10531</v>
      </c>
      <c r="K226">
        <v>7715</v>
      </c>
      <c r="L226">
        <v>274</v>
      </c>
      <c r="M226" t="b">
        <v>0</v>
      </c>
      <c r="N226" t="s">
        <v>390</v>
      </c>
    </row>
    <row r="227" spans="1:14">
      <c r="A227" t="s">
        <v>379</v>
      </c>
      <c r="B227">
        <v>226</v>
      </c>
      <c r="C227" t="s">
        <v>391</v>
      </c>
      <c r="D227">
        <v>1862</v>
      </c>
      <c r="E227">
        <v>1873</v>
      </c>
      <c r="F227">
        <v>440375</v>
      </c>
      <c r="G227">
        <v>182700</v>
      </c>
      <c r="H227">
        <v>184950</v>
      </c>
      <c r="I227">
        <v>262461</v>
      </c>
      <c r="J227">
        <v>262461</v>
      </c>
      <c r="K227">
        <v>77511</v>
      </c>
      <c r="L227">
        <v>41.9</v>
      </c>
      <c r="M227" t="b">
        <v>0</v>
      </c>
      <c r="N227" t="s">
        <v>392</v>
      </c>
    </row>
    <row r="228" spans="1:14">
      <c r="A228" t="s">
        <v>379</v>
      </c>
      <c r="B228">
        <v>227</v>
      </c>
      <c r="C228" t="s">
        <v>393</v>
      </c>
      <c r="D228">
        <v>1874</v>
      </c>
      <c r="E228">
        <v>1881</v>
      </c>
      <c r="F228">
        <v>1962</v>
      </c>
      <c r="G228">
        <v>1962</v>
      </c>
      <c r="H228">
        <v>1962</v>
      </c>
      <c r="I228">
        <v>1962</v>
      </c>
      <c r="J228">
        <v>1962</v>
      </c>
      <c r="M228" t="b">
        <v>0</v>
      </c>
      <c r="N228" t="e">
        <f ca="1">- (초·중등 SW융합교육 강화) 동 사업은 미래 소프트웨어(SW) 인재양성에 대한 국가 사회적 요구와 초‧중등 정보교육에 대한 국가 책무성 증대에 따라 초‧중등학교 SW‧AI 교육을 강화하여 체계적인 디지털 인공지능 교육 기반 마련하는 것임</f>
        <v>#NAME?</v>
      </c>
    </row>
    <row r="229" spans="1:14">
      <c r="A229" t="s">
        <v>379</v>
      </c>
      <c r="B229">
        <v>228</v>
      </c>
      <c r="C229" t="s">
        <v>394</v>
      </c>
      <c r="D229">
        <v>1882</v>
      </c>
      <c r="E229">
        <v>1896</v>
      </c>
      <c r="F229">
        <v>11175</v>
      </c>
      <c r="G229">
        <v>14054</v>
      </c>
      <c r="H229">
        <v>14054</v>
      </c>
      <c r="I229">
        <v>13682</v>
      </c>
      <c r="J229">
        <v>13682</v>
      </c>
      <c r="K229">
        <v>-372</v>
      </c>
      <c r="L229">
        <v>-2.6</v>
      </c>
      <c r="M229" t="b">
        <v>0</v>
      </c>
      <c r="N229" t="s">
        <v>395</v>
      </c>
    </row>
    <row r="230" spans="1:14">
      <c r="A230" t="s">
        <v>379</v>
      </c>
      <c r="B230">
        <v>229</v>
      </c>
      <c r="C230" t="s">
        <v>396</v>
      </c>
      <c r="D230">
        <v>1897</v>
      </c>
      <c r="E230">
        <v>1905</v>
      </c>
      <c r="F230">
        <v>367382</v>
      </c>
      <c r="G230">
        <v>407913</v>
      </c>
      <c r="H230">
        <v>407913</v>
      </c>
      <c r="I230">
        <v>421051</v>
      </c>
      <c r="J230">
        <v>421041</v>
      </c>
      <c r="K230">
        <v>13128</v>
      </c>
      <c r="L230">
        <v>3.2</v>
      </c>
      <c r="M230" t="b">
        <v>0</v>
      </c>
      <c r="N230" t="s">
        <v>397</v>
      </c>
    </row>
    <row r="231" spans="1:14">
      <c r="A231" t="s">
        <v>379</v>
      </c>
      <c r="B231">
        <v>230</v>
      </c>
      <c r="C231" t="s">
        <v>398</v>
      </c>
      <c r="D231">
        <v>1906</v>
      </c>
      <c r="E231">
        <v>1913</v>
      </c>
      <c r="F231">
        <v>19401</v>
      </c>
      <c r="G231">
        <v>16968</v>
      </c>
      <c r="H231">
        <v>16968</v>
      </c>
      <c r="I231">
        <v>18310</v>
      </c>
      <c r="J231">
        <v>19810</v>
      </c>
      <c r="K231">
        <v>2842</v>
      </c>
      <c r="L231">
        <v>16.7</v>
      </c>
      <c r="M231" t="b">
        <v>0</v>
      </c>
      <c r="N231" t="e">
        <f ca="1">- (한국형 온라인 공개강좌(K-MOOC) 운영) 대학 등의 우수강좌를 온라인으로 온 국민에게 제공하여 평생교육 수요 확대에 부응 및 대학의 교수ㆍ학습 혁신촉진 - (성인의 디지털 역량 강화 지원) 성인의 디지털 분야 재교육·향상교육을 통한 역량 함양을 위해 온라인 기반 교육과정 개발 및 운영</f>
        <v>#NAME?</v>
      </c>
    </row>
    <row r="232" spans="1:14">
      <c r="A232" t="s">
        <v>399</v>
      </c>
      <c r="B232">
        <v>231</v>
      </c>
      <c r="C232" t="s">
        <v>400</v>
      </c>
      <c r="D232">
        <v>1914</v>
      </c>
      <c r="E232">
        <v>1931</v>
      </c>
      <c r="F232">
        <v>5620</v>
      </c>
      <c r="G232">
        <v>4362</v>
      </c>
      <c r="H232">
        <v>4362</v>
      </c>
      <c r="I232">
        <v>5035</v>
      </c>
      <c r="J232">
        <v>4670</v>
      </c>
      <c r="K232">
        <v>308</v>
      </c>
      <c r="L232">
        <v>7.1</v>
      </c>
      <c r="M232" t="b">
        <v>0</v>
      </c>
      <c r="N232" t="s">
        <v>401</v>
      </c>
    </row>
    <row r="233" spans="1:14">
      <c r="A233" t="s">
        <v>399</v>
      </c>
      <c r="B233">
        <v>232</v>
      </c>
      <c r="C233" t="s">
        <v>402</v>
      </c>
      <c r="D233">
        <v>1932</v>
      </c>
      <c r="E233">
        <v>1940</v>
      </c>
      <c r="F233">
        <v>1939</v>
      </c>
      <c r="G233">
        <v>1915</v>
      </c>
      <c r="H233">
        <v>1915</v>
      </c>
      <c r="I233">
        <v>2197</v>
      </c>
      <c r="J233">
        <v>2148</v>
      </c>
      <c r="K233">
        <v>233</v>
      </c>
      <c r="L233">
        <v>12.2</v>
      </c>
      <c r="M233" t="b">
        <v>0</v>
      </c>
      <c r="N233" t="s">
        <v>403</v>
      </c>
    </row>
    <row r="234" spans="1:14">
      <c r="A234" t="s">
        <v>399</v>
      </c>
      <c r="B234">
        <v>233</v>
      </c>
      <c r="C234" t="s">
        <v>404</v>
      </c>
      <c r="D234">
        <v>1941</v>
      </c>
      <c r="E234">
        <v>1960</v>
      </c>
      <c r="F234">
        <v>7398</v>
      </c>
      <c r="G234">
        <v>10316</v>
      </c>
      <c r="H234">
        <v>10316</v>
      </c>
      <c r="I234">
        <v>11247</v>
      </c>
      <c r="J234">
        <v>11247</v>
      </c>
      <c r="K234">
        <v>931</v>
      </c>
      <c r="L234">
        <v>9</v>
      </c>
      <c r="M234" t="b">
        <v>0</v>
      </c>
      <c r="N234" t="s">
        <v>405</v>
      </c>
    </row>
    <row r="235" spans="1:14">
      <c r="A235" t="s">
        <v>399</v>
      </c>
      <c r="B235">
        <v>234</v>
      </c>
      <c r="C235" t="s">
        <v>406</v>
      </c>
      <c r="D235">
        <v>1961</v>
      </c>
      <c r="E235">
        <v>1968</v>
      </c>
      <c r="F235">
        <v>7116</v>
      </c>
      <c r="G235">
        <v>6362</v>
      </c>
      <c r="H235">
        <v>6362</v>
      </c>
      <c r="I235">
        <v>7084</v>
      </c>
      <c r="J235">
        <v>6942</v>
      </c>
      <c r="K235">
        <v>580</v>
      </c>
      <c r="L235">
        <v>9.1</v>
      </c>
      <c r="M235" t="b">
        <v>0</v>
      </c>
      <c r="N235" t="s">
        <v>407</v>
      </c>
    </row>
    <row r="236" spans="1:14">
      <c r="A236" t="s">
        <v>399</v>
      </c>
      <c r="B236">
        <v>235</v>
      </c>
      <c r="C236" t="s">
        <v>408</v>
      </c>
      <c r="D236">
        <v>1969</v>
      </c>
      <c r="E236">
        <v>1975</v>
      </c>
      <c r="F236">
        <v>1407</v>
      </c>
      <c r="G236">
        <v>1376</v>
      </c>
      <c r="H236">
        <v>1376</v>
      </c>
      <c r="I236">
        <v>1564</v>
      </c>
      <c r="J236">
        <v>1564</v>
      </c>
      <c r="K236">
        <v>188</v>
      </c>
      <c r="L236">
        <v>13.7</v>
      </c>
      <c r="M236" t="b">
        <v>0</v>
      </c>
      <c r="N236" t="s">
        <v>409</v>
      </c>
    </row>
    <row r="237" spans="1:14">
      <c r="A237" t="s">
        <v>410</v>
      </c>
      <c r="B237">
        <v>236</v>
      </c>
      <c r="C237" t="s">
        <v>411</v>
      </c>
      <c r="D237">
        <v>1976</v>
      </c>
      <c r="E237">
        <v>1980</v>
      </c>
      <c r="I237">
        <v>7396</v>
      </c>
      <c r="J237">
        <v>4420</v>
      </c>
      <c r="K237">
        <v>4420</v>
      </c>
      <c r="M237" t="b">
        <v>1</v>
      </c>
      <c r="N237" t="s">
        <v>412</v>
      </c>
    </row>
    <row r="238" spans="1:14">
      <c r="A238" t="s">
        <v>413</v>
      </c>
      <c r="B238">
        <v>237</v>
      </c>
      <c r="C238" t="s">
        <v>414</v>
      </c>
      <c r="D238">
        <v>1981</v>
      </c>
      <c r="E238">
        <v>1988</v>
      </c>
      <c r="F238">
        <v>4653</v>
      </c>
      <c r="G238">
        <v>3346</v>
      </c>
      <c r="H238">
        <v>3346</v>
      </c>
      <c r="I238">
        <v>3895</v>
      </c>
      <c r="J238">
        <v>3895</v>
      </c>
      <c r="K238">
        <v>549</v>
      </c>
      <c r="L238">
        <v>16.399999999999999</v>
      </c>
      <c r="M238" t="b">
        <v>0</v>
      </c>
      <c r="N238" t="s">
        <v>415</v>
      </c>
    </row>
    <row r="239" spans="1:14">
      <c r="A239" t="s">
        <v>416</v>
      </c>
      <c r="B239">
        <v>238</v>
      </c>
      <c r="C239" t="s">
        <v>417</v>
      </c>
      <c r="D239">
        <v>1989</v>
      </c>
      <c r="E239">
        <v>1994</v>
      </c>
      <c r="F239">
        <v>0</v>
      </c>
      <c r="G239">
        <v>0</v>
      </c>
      <c r="H239">
        <v>0</v>
      </c>
      <c r="I239">
        <v>0</v>
      </c>
      <c r="J239">
        <v>35000</v>
      </c>
      <c r="K239">
        <v>35000</v>
      </c>
      <c r="M239" t="b">
        <v>0</v>
      </c>
      <c r="N239" t="s">
        <v>418</v>
      </c>
    </row>
    <row r="240" spans="1:14">
      <c r="A240" t="s">
        <v>416</v>
      </c>
      <c r="B240">
        <v>239</v>
      </c>
      <c r="C240" t="s">
        <v>419</v>
      </c>
      <c r="D240">
        <v>1995</v>
      </c>
      <c r="E240">
        <v>2004</v>
      </c>
      <c r="F240">
        <v>47839</v>
      </c>
      <c r="G240">
        <v>49034</v>
      </c>
      <c r="H240">
        <v>49034</v>
      </c>
      <c r="I240">
        <v>51484</v>
      </c>
      <c r="J240">
        <v>49250</v>
      </c>
      <c r="K240">
        <v>216</v>
      </c>
      <c r="M240" t="b">
        <v>0</v>
      </c>
      <c r="N240" t="s">
        <v>420</v>
      </c>
    </row>
    <row r="241" spans="1:14">
      <c r="A241" t="s">
        <v>416</v>
      </c>
      <c r="B241">
        <v>240</v>
      </c>
      <c r="C241" t="s">
        <v>421</v>
      </c>
      <c r="D241">
        <v>2005</v>
      </c>
      <c r="E241">
        <v>2010</v>
      </c>
      <c r="G241">
        <v>1000</v>
      </c>
      <c r="H241">
        <v>1000</v>
      </c>
      <c r="I241">
        <v>12011</v>
      </c>
      <c r="J241">
        <v>6651</v>
      </c>
      <c r="K241">
        <v>5651</v>
      </c>
      <c r="M241" t="b">
        <v>0</v>
      </c>
      <c r="N241" t="s">
        <v>422</v>
      </c>
    </row>
    <row r="242" spans="1:14">
      <c r="A242" t="s">
        <v>416</v>
      </c>
      <c r="B242">
        <v>241</v>
      </c>
      <c r="C242" t="s">
        <v>423</v>
      </c>
      <c r="D242">
        <v>2011</v>
      </c>
      <c r="E242">
        <v>2019</v>
      </c>
      <c r="F242">
        <v>5962</v>
      </c>
      <c r="G242">
        <v>5896</v>
      </c>
      <c r="H242">
        <v>5896</v>
      </c>
      <c r="I242">
        <v>11973</v>
      </c>
      <c r="J242">
        <v>10776</v>
      </c>
      <c r="K242">
        <v>4880</v>
      </c>
      <c r="M242" t="b">
        <v>0</v>
      </c>
      <c r="N242" t="s">
        <v>424</v>
      </c>
    </row>
    <row r="243" spans="1:14">
      <c r="A243" t="s">
        <v>416</v>
      </c>
      <c r="B243">
        <v>242</v>
      </c>
      <c r="C243" t="s">
        <v>425</v>
      </c>
      <c r="D243">
        <v>2020</v>
      </c>
      <c r="E243">
        <v>2030</v>
      </c>
      <c r="F243">
        <v>5907</v>
      </c>
      <c r="G243">
        <v>7617</v>
      </c>
      <c r="H243">
        <v>7617</v>
      </c>
      <c r="I243">
        <v>9831</v>
      </c>
      <c r="J243">
        <v>9177</v>
      </c>
      <c r="K243">
        <v>1560</v>
      </c>
      <c r="M243" t="b">
        <v>0</v>
      </c>
      <c r="N243" t="e">
        <f>- 국방개혁 추진과 군구조 개편에 따른 연구소요 및 교리교범 연구 소요 - 해외교리장교 운영 : 군사선진국의 교리, 군구조, 무기체계 등의 자료수집 및 연구를 위한 인력 해외 파견 필요</f>
        <v>#NAME?</v>
      </c>
    </row>
    <row r="244" spans="1:14">
      <c r="A244" t="s">
        <v>416</v>
      </c>
      <c r="B244">
        <v>243</v>
      </c>
      <c r="C244" t="s">
        <v>426</v>
      </c>
      <c r="D244">
        <v>2031</v>
      </c>
      <c r="E244">
        <v>2041</v>
      </c>
      <c r="F244">
        <v>184408</v>
      </c>
      <c r="G244">
        <v>187774</v>
      </c>
      <c r="H244">
        <v>187774</v>
      </c>
      <c r="I244">
        <v>210446</v>
      </c>
      <c r="J244">
        <v>183056</v>
      </c>
      <c r="K244">
        <v>-4718</v>
      </c>
      <c r="L244">
        <v>-2.5</v>
      </c>
      <c r="M244" t="b">
        <v>0</v>
      </c>
      <c r="N244" t="s">
        <v>427</v>
      </c>
    </row>
    <row r="245" spans="1:14">
      <c r="A245" t="s">
        <v>416</v>
      </c>
      <c r="B245">
        <v>244</v>
      </c>
      <c r="C245" t="s">
        <v>428</v>
      </c>
      <c r="D245">
        <v>2042</v>
      </c>
      <c r="E245">
        <v>2053</v>
      </c>
      <c r="F245">
        <v>268810</v>
      </c>
      <c r="G245">
        <v>277075</v>
      </c>
      <c r="H245">
        <v>277075</v>
      </c>
      <c r="I245">
        <v>283199</v>
      </c>
      <c r="J245">
        <v>292157</v>
      </c>
      <c r="K245">
        <v>15082</v>
      </c>
      <c r="M245" t="b">
        <v>0</v>
      </c>
      <c r="N245" t="s">
        <v>429</v>
      </c>
    </row>
    <row r="246" spans="1:14">
      <c r="A246" t="s">
        <v>430</v>
      </c>
      <c r="B246">
        <v>245</v>
      </c>
      <c r="C246" t="s">
        <v>431</v>
      </c>
      <c r="D246">
        <v>2054</v>
      </c>
      <c r="E246">
        <v>2059</v>
      </c>
      <c r="F246">
        <v>11162</v>
      </c>
      <c r="G246">
        <v>9756</v>
      </c>
      <c r="H246">
        <v>9756</v>
      </c>
      <c r="I246">
        <v>11610</v>
      </c>
      <c r="J246">
        <v>11610</v>
      </c>
      <c r="K246">
        <v>1854</v>
      </c>
      <c r="L246">
        <v>19</v>
      </c>
      <c r="M246" t="b">
        <v>0</v>
      </c>
      <c r="N246" t="e">
        <f>- (빅데이터시스템 운영·유지보수) 과세형평성 제고 및 납세자 친화적 세무행정 구현을 위해 구축한 빅데이터 시스템 및 분석모델의 안정적 운영, 분석기법 고도화 등 추진 - (빅데이터 활용 연구과제 개발) 국세행정의 디지털 전환 가속화를 지원하기 위해 납세자 맞춤형 신고도움자료 확대, 업무량 감축 등 일선업무 효율화, 지능형 탈세 대응 과제 개발 - (정보분석시스템 운영·유지보수) 국세행정 업무를 차질없이 뒷받침 할 수 있도록 정보분석 시스템에 법령 및 제도개선 사항을 반영하고, 체계적으로 운영‧관리하여 안정적 서비스 제공 - (국세청 AI 시스템 구축) AI대전환으로 국세행정의 모든 프로세스에 걸쳐 전면적 혁신을 구현 하기 위한 국세청 AI 시스템을 구축하고 AI 혁신과제 추진하기 위한 ISMP* 수행 * Information Strategy Master Plan : 요구사항을분석하여목표시스템의기능적요구사항을상세히도출</f>
        <v>#NAME?</v>
      </c>
    </row>
    <row r="247" spans="1:14">
      <c r="A247" t="s">
        <v>430</v>
      </c>
      <c r="B247">
        <v>246</v>
      </c>
      <c r="C247" t="s">
        <v>432</v>
      </c>
      <c r="D247">
        <v>2060</v>
      </c>
      <c r="E247">
        <v>2074</v>
      </c>
      <c r="F247">
        <v>46350</v>
      </c>
      <c r="G247">
        <v>49461</v>
      </c>
      <c r="H247">
        <v>49461</v>
      </c>
      <c r="I247">
        <v>53930</v>
      </c>
      <c r="J247">
        <v>53930</v>
      </c>
      <c r="K247">
        <v>4469</v>
      </c>
      <c r="L247">
        <v>9</v>
      </c>
      <c r="M247" t="b">
        <v>0</v>
      </c>
      <c r="N247" t="s">
        <v>433</v>
      </c>
    </row>
    <row r="248" spans="1:14">
      <c r="A248" t="s">
        <v>430</v>
      </c>
      <c r="B248">
        <v>247</v>
      </c>
      <c r="C248" t="s">
        <v>434</v>
      </c>
      <c r="D248">
        <v>2075</v>
      </c>
      <c r="E248">
        <v>2085</v>
      </c>
      <c r="F248">
        <v>42546</v>
      </c>
      <c r="G248">
        <v>45412</v>
      </c>
      <c r="H248">
        <v>45412</v>
      </c>
      <c r="I248">
        <v>37914</v>
      </c>
      <c r="J248">
        <v>37914</v>
      </c>
      <c r="K248">
        <v>-7498</v>
      </c>
      <c r="L248">
        <v>-16.5</v>
      </c>
      <c r="M248" t="b">
        <v>0</v>
      </c>
      <c r="N248" t="s">
        <v>435</v>
      </c>
    </row>
    <row r="249" spans="1:14">
      <c r="A249" t="s">
        <v>436</v>
      </c>
      <c r="B249">
        <v>248</v>
      </c>
      <c r="C249" t="s">
        <v>437</v>
      </c>
      <c r="D249">
        <v>2086</v>
      </c>
      <c r="E249">
        <v>2093</v>
      </c>
      <c r="G249">
        <v>1500</v>
      </c>
      <c r="H249">
        <v>1500</v>
      </c>
      <c r="J249">
        <v>3596</v>
      </c>
      <c r="K249">
        <v>2096</v>
      </c>
      <c r="L249">
        <v>139.69999999999999</v>
      </c>
      <c r="M249" t="b">
        <v>0</v>
      </c>
      <c r="N249" t="s">
        <v>438</v>
      </c>
    </row>
    <row r="250" spans="1:14">
      <c r="A250" t="s">
        <v>436</v>
      </c>
      <c r="B250">
        <v>249</v>
      </c>
      <c r="C250" t="s">
        <v>439</v>
      </c>
      <c r="D250">
        <v>2094</v>
      </c>
      <c r="E250">
        <v>2103</v>
      </c>
      <c r="F250">
        <v>2889</v>
      </c>
      <c r="G250">
        <v>1704</v>
      </c>
      <c r="H250">
        <v>1704</v>
      </c>
      <c r="J250">
        <v>1602</v>
      </c>
      <c r="K250">
        <v>-102</v>
      </c>
      <c r="L250">
        <v>-6</v>
      </c>
      <c r="M250" t="b">
        <v>0</v>
      </c>
      <c r="N250" t="s">
        <v>440</v>
      </c>
    </row>
    <row r="251" spans="1:14">
      <c r="A251" t="s">
        <v>436</v>
      </c>
      <c r="B251">
        <v>250</v>
      </c>
      <c r="C251" t="s">
        <v>441</v>
      </c>
      <c r="D251">
        <v>2104</v>
      </c>
      <c r="E251">
        <v>2116</v>
      </c>
      <c r="J251">
        <v>61760</v>
      </c>
      <c r="K251">
        <v>61760</v>
      </c>
      <c r="M251" t="b">
        <v>1</v>
      </c>
      <c r="N251" t="s">
        <v>442</v>
      </c>
    </row>
    <row r="252" spans="1:14">
      <c r="A252" t="s">
        <v>436</v>
      </c>
      <c r="B252">
        <v>251</v>
      </c>
      <c r="C252" t="s">
        <v>443</v>
      </c>
      <c r="D252">
        <v>2117</v>
      </c>
      <c r="E252">
        <v>2123</v>
      </c>
      <c r="J252">
        <v>46000</v>
      </c>
      <c r="K252">
        <v>31500</v>
      </c>
      <c r="M252" t="b">
        <v>1</v>
      </c>
      <c r="N252" t="s">
        <v>444</v>
      </c>
    </row>
    <row r="253" spans="1:14">
      <c r="A253" t="s">
        <v>436</v>
      </c>
      <c r="B253">
        <v>252</v>
      </c>
      <c r="C253" t="s">
        <v>445</v>
      </c>
      <c r="D253">
        <v>2124</v>
      </c>
      <c r="E253">
        <v>2133</v>
      </c>
      <c r="F253">
        <v>960</v>
      </c>
      <c r="G253">
        <v>5231</v>
      </c>
      <c r="H253">
        <v>5231</v>
      </c>
      <c r="J253">
        <v>4776</v>
      </c>
      <c r="K253">
        <v>-455</v>
      </c>
      <c r="L253">
        <v>-8.6999999999999993</v>
      </c>
      <c r="M253" t="b">
        <v>0</v>
      </c>
      <c r="N253" t="e">
        <f>- (AI 진단 기반 항공기 로봇 검사 및 정비) 항공 MRO분야에 로봇‧AI를 활용한 정비 도입하는 글로벌 기술·환경 변화를 반영하여 지능형 검사‧수리 적합도 기술개발· 시범운용·제도마련*을 통한 항공 이용객 안전 향상 및 신산업 분야 육성지원 * 자율협력형MRO 로봇기반지능형항공기외관검사기술및자동화기술기반지능형항공기 비파괴검사기술개발, 디지털MRO 검사기술상용화를위한제도연구및시범운용</f>
        <v>#NAME?</v>
      </c>
    </row>
    <row r="254" spans="1:14">
      <c r="A254" t="s">
        <v>436</v>
      </c>
      <c r="B254">
        <v>253</v>
      </c>
      <c r="C254" t="s">
        <v>446</v>
      </c>
      <c r="D254">
        <v>2134</v>
      </c>
      <c r="E254">
        <v>2143</v>
      </c>
      <c r="F254">
        <v>921</v>
      </c>
      <c r="G254">
        <v>3343</v>
      </c>
      <c r="H254">
        <v>3343</v>
      </c>
      <c r="J254">
        <v>2982</v>
      </c>
      <c r="K254">
        <v>-361</v>
      </c>
      <c r="L254">
        <v>-10.8</v>
      </c>
      <c r="M254" t="b">
        <v>0</v>
      </c>
      <c r="N254" t="s">
        <v>447</v>
      </c>
    </row>
    <row r="255" spans="1:14">
      <c r="A255" t="s">
        <v>436</v>
      </c>
      <c r="B255">
        <v>254</v>
      </c>
      <c r="C255" t="s">
        <v>448</v>
      </c>
      <c r="D255">
        <v>2144</v>
      </c>
      <c r="E255">
        <v>2161</v>
      </c>
      <c r="J255">
        <v>43362</v>
      </c>
      <c r="K255">
        <v>43362</v>
      </c>
      <c r="M255" t="b">
        <v>1</v>
      </c>
      <c r="N255" t="s">
        <v>449</v>
      </c>
    </row>
    <row r="256" spans="1:14">
      <c r="A256" t="s">
        <v>436</v>
      </c>
      <c r="B256">
        <v>255</v>
      </c>
      <c r="C256" t="s">
        <v>450</v>
      </c>
      <c r="D256">
        <v>2162</v>
      </c>
      <c r="E256">
        <v>2181</v>
      </c>
      <c r="F256">
        <v>3039</v>
      </c>
      <c r="G256">
        <v>3151</v>
      </c>
      <c r="H256">
        <v>3151</v>
      </c>
      <c r="J256">
        <v>4305</v>
      </c>
      <c r="K256">
        <v>1154</v>
      </c>
      <c r="L256">
        <v>36.6</v>
      </c>
      <c r="M256" t="b">
        <v>0</v>
      </c>
      <c r="N256" t="s">
        <v>451</v>
      </c>
    </row>
    <row r="257" spans="1:14">
      <c r="A257" t="s">
        <v>436</v>
      </c>
      <c r="B257">
        <v>256</v>
      </c>
      <c r="C257" t="s">
        <v>452</v>
      </c>
      <c r="D257">
        <v>2182</v>
      </c>
      <c r="E257">
        <v>2192</v>
      </c>
      <c r="F257">
        <v>7783</v>
      </c>
      <c r="G257">
        <v>7606</v>
      </c>
      <c r="H257">
        <v>7606</v>
      </c>
      <c r="J257">
        <v>7184</v>
      </c>
      <c r="K257">
        <v>-422</v>
      </c>
      <c r="L257">
        <v>-5.5</v>
      </c>
      <c r="M257" t="b">
        <v>0</v>
      </c>
      <c r="N257" t="s">
        <v>453</v>
      </c>
    </row>
    <row r="258" spans="1:14">
      <c r="A258" t="s">
        <v>436</v>
      </c>
      <c r="B258">
        <v>257</v>
      </c>
      <c r="C258" t="s">
        <v>454</v>
      </c>
      <c r="D258">
        <v>2193</v>
      </c>
      <c r="E258">
        <v>2202</v>
      </c>
      <c r="F258">
        <v>1037</v>
      </c>
      <c r="G258">
        <v>2128</v>
      </c>
      <c r="H258">
        <v>2128</v>
      </c>
      <c r="J258">
        <v>3807</v>
      </c>
      <c r="K258">
        <v>1679</v>
      </c>
      <c r="L258">
        <v>78.900000000000006</v>
      </c>
      <c r="M258" t="b">
        <v>0</v>
      </c>
      <c r="N258" t="s">
        <v>455</v>
      </c>
    </row>
    <row r="259" spans="1:14">
      <c r="A259" t="s">
        <v>436</v>
      </c>
      <c r="B259">
        <v>258</v>
      </c>
      <c r="C259" t="s">
        <v>456</v>
      </c>
      <c r="D259">
        <v>2203</v>
      </c>
      <c r="E259">
        <v>2210</v>
      </c>
      <c r="J259">
        <v>2009</v>
      </c>
      <c r="K259">
        <v>2009</v>
      </c>
      <c r="M259" t="b">
        <v>1</v>
      </c>
      <c r="N259" t="s">
        <v>457</v>
      </c>
    </row>
    <row r="260" spans="1:14">
      <c r="A260" t="s">
        <v>436</v>
      </c>
      <c r="B260">
        <v>259</v>
      </c>
      <c r="C260" t="s">
        <v>458</v>
      </c>
      <c r="D260">
        <v>2211</v>
      </c>
      <c r="E260">
        <v>2218</v>
      </c>
      <c r="J260">
        <v>1500</v>
      </c>
      <c r="K260">
        <v>1500</v>
      </c>
      <c r="M260" t="b">
        <v>1</v>
      </c>
      <c r="N260" t="s">
        <v>459</v>
      </c>
    </row>
    <row r="261" spans="1:14">
      <c r="A261" t="s">
        <v>436</v>
      </c>
      <c r="B261">
        <v>260</v>
      </c>
      <c r="C261" t="s">
        <v>460</v>
      </c>
      <c r="D261">
        <v>2219</v>
      </c>
      <c r="E261">
        <v>2227</v>
      </c>
      <c r="J261">
        <v>4000</v>
      </c>
      <c r="K261">
        <v>4000</v>
      </c>
      <c r="M261" t="b">
        <v>1</v>
      </c>
      <c r="N261" t="e">
        <f>- (과적단속 효율화를 위한 화물차 중량정보 플랫폼 구축 및 실증 기술개발) 도로 과적 검문소 계중시스템 신뢰성 저하와 단속지점 교통정체 해결을 위한 차세대 화물차 중량정보 계중 및 유통기술 개발을 통해 계중시스템 국산화 및 도로·교량 등 국가 주요 인프라 파손 예방</f>
        <v>#NAME?</v>
      </c>
    </row>
    <row r="262" spans="1:14">
      <c r="A262" t="s">
        <v>436</v>
      </c>
      <c r="B262">
        <v>261</v>
      </c>
      <c r="C262" t="s">
        <v>461</v>
      </c>
      <c r="D262">
        <v>2228</v>
      </c>
      <c r="E262">
        <v>2236</v>
      </c>
      <c r="F262">
        <v>1220</v>
      </c>
      <c r="G262">
        <v>3353</v>
      </c>
      <c r="H262">
        <v>3353</v>
      </c>
      <c r="J262">
        <v>2611</v>
      </c>
      <c r="K262">
        <v>-742</v>
      </c>
      <c r="L262">
        <v>-22.1</v>
      </c>
      <c r="M262" t="b">
        <v>0</v>
      </c>
      <c r="N262" t="e">
        <f>- (광역단위 노후건축물 디지털 안전워치 기술개발) 중소규모 노후 건축물의 구조·화재 안전 관리를 강화하기 위해 디지털 기반의 안전현황 신속조사·원격점검 및 관리·서비스기술개발 ‧ 건축물 안전정보를 신속하게 선별 인식ㆍ추출 및 디지털 변환기술 개발 ‧ 드론, 영상스캔, AI 등을 이용한 원격ㆍ자동화 정보조사 및 점검기술 개발 ‧ 지자체 연계 광역단위 디지털 안전정보 구축, 통합관리 서비스기술 개발 및 실증</f>
        <v>#NAME?</v>
      </c>
    </row>
    <row r="263" spans="1:14">
      <c r="A263" t="s">
        <v>436</v>
      </c>
      <c r="B263">
        <v>262</v>
      </c>
      <c r="C263" t="s">
        <v>462</v>
      </c>
      <c r="D263">
        <v>2237</v>
      </c>
      <c r="E263">
        <v>2247</v>
      </c>
      <c r="F263">
        <v>2952</v>
      </c>
      <c r="G263">
        <v>4865</v>
      </c>
      <c r="H263">
        <v>4865</v>
      </c>
      <c r="J263">
        <v>5199</v>
      </c>
      <c r="K263">
        <v>334</v>
      </c>
      <c r="L263">
        <v>6.9</v>
      </c>
      <c r="M263" t="b">
        <v>0</v>
      </c>
      <c r="N263" t="e">
        <f>- (교통사고 유발 도로노면 위험요소 저감기술 개발) 악천후 및 폭설 등 기상악화 시 도로 주행중 교통사고 유발 노면 위험요소 예방을 위한 탐지·저감 기술 확보 및 교통사고 예방을 위한 도로·환경, 인적요인, 차량요인 등을 평가하는 도로안전도 평가·등급화 기술 개발</f>
        <v>#NAME?</v>
      </c>
    </row>
    <row r="264" spans="1:14">
      <c r="A264" t="s">
        <v>436</v>
      </c>
      <c r="B264">
        <v>263</v>
      </c>
      <c r="C264" t="s">
        <v>463</v>
      </c>
      <c r="D264">
        <v>2248</v>
      </c>
      <c r="E264">
        <v>2256</v>
      </c>
      <c r="F264">
        <v>5950</v>
      </c>
      <c r="G264">
        <v>6000</v>
      </c>
      <c r="H264">
        <v>6000</v>
      </c>
      <c r="J264">
        <v>6720</v>
      </c>
      <c r="K264">
        <v>720</v>
      </c>
      <c r="L264">
        <v>12</v>
      </c>
      <c r="M264" t="b">
        <v>0</v>
      </c>
      <c r="N264" t="s">
        <v>464</v>
      </c>
    </row>
    <row r="265" spans="1:14">
      <c r="A265" t="s">
        <v>436</v>
      </c>
      <c r="B265">
        <v>264</v>
      </c>
      <c r="C265" t="s">
        <v>465</v>
      </c>
      <c r="D265">
        <v>2257</v>
      </c>
      <c r="E265">
        <v>2270</v>
      </c>
      <c r="F265">
        <v>5402</v>
      </c>
      <c r="G265">
        <v>4898</v>
      </c>
      <c r="H265">
        <v>4898</v>
      </c>
      <c r="J265">
        <v>4680</v>
      </c>
      <c r="K265">
        <v>-218</v>
      </c>
      <c r="L265">
        <v>-4.5</v>
      </c>
      <c r="M265" t="b">
        <v>0</v>
      </c>
      <c r="N265" t="s">
        <v>466</v>
      </c>
    </row>
    <row r="266" spans="1:14">
      <c r="A266" t="s">
        <v>436</v>
      </c>
      <c r="B266">
        <v>265</v>
      </c>
      <c r="C266" t="s">
        <v>467</v>
      </c>
      <c r="D266">
        <v>2271</v>
      </c>
      <c r="E266">
        <v>2283</v>
      </c>
      <c r="F266">
        <v>9533</v>
      </c>
      <c r="G266">
        <v>10747</v>
      </c>
      <c r="H266">
        <v>10747</v>
      </c>
      <c r="J266">
        <v>20037</v>
      </c>
      <c r="K266">
        <v>9290</v>
      </c>
      <c r="L266">
        <v>86.4</v>
      </c>
      <c r="M266" t="b">
        <v>0</v>
      </c>
      <c r="N266" t="s">
        <v>468</v>
      </c>
    </row>
    <row r="267" spans="1:14">
      <c r="A267" t="s">
        <v>436</v>
      </c>
      <c r="B267">
        <v>266</v>
      </c>
      <c r="C267" t="s">
        <v>469</v>
      </c>
      <c r="D267">
        <v>2284</v>
      </c>
      <c r="E267">
        <v>2294</v>
      </c>
      <c r="F267">
        <v>2776</v>
      </c>
      <c r="G267">
        <v>6932</v>
      </c>
      <c r="H267">
        <v>6932</v>
      </c>
      <c r="J267">
        <v>8318</v>
      </c>
      <c r="K267">
        <v>1386</v>
      </c>
      <c r="L267">
        <v>20</v>
      </c>
      <c r="M267" t="b">
        <v>0</v>
      </c>
      <c r="N267" t="s">
        <v>470</v>
      </c>
    </row>
    <row r="268" spans="1:14">
      <c r="A268" t="s">
        <v>436</v>
      </c>
      <c r="B268">
        <v>267</v>
      </c>
      <c r="C268" t="s">
        <v>471</v>
      </c>
      <c r="D268">
        <v>2295</v>
      </c>
      <c r="E268">
        <v>2303</v>
      </c>
      <c r="G268">
        <v>1500</v>
      </c>
      <c r="H268">
        <v>1500</v>
      </c>
      <c r="J268">
        <v>5300</v>
      </c>
      <c r="K268">
        <v>3800</v>
      </c>
      <c r="L268">
        <v>253.3</v>
      </c>
      <c r="M268" t="b">
        <v>0</v>
      </c>
      <c r="N268" t="s">
        <v>472</v>
      </c>
    </row>
    <row r="269" spans="1:14">
      <c r="A269" t="s">
        <v>436</v>
      </c>
      <c r="B269">
        <v>268</v>
      </c>
      <c r="C269" t="s">
        <v>473</v>
      </c>
      <c r="D269">
        <v>2304</v>
      </c>
      <c r="E269">
        <v>2314</v>
      </c>
      <c r="F269">
        <v>4000</v>
      </c>
      <c r="G269">
        <v>5374</v>
      </c>
      <c r="H269">
        <v>5374</v>
      </c>
      <c r="J269">
        <v>6794</v>
      </c>
      <c r="K269">
        <v>1420</v>
      </c>
      <c r="L269">
        <v>26.4</v>
      </c>
      <c r="M269" t="b">
        <v>0</v>
      </c>
      <c r="N269" t="e">
        <f>- (디지털 기반 건축감리 및 시공자동화 로봇 기술개발) 건축현장의 생산성과 안전성을 향상시키기 위한 원격/실시간 지향 디지털 시공·안전감리 기술혁신 및 자동화 기술 개발 · 건축현장 데이터 자동축적 및 AI를 활용한 감리 및 시공관리 기술 개발 · 기능 인력의 의존도를 낮추고 생산성을 재고할 수 있는 건축 시공자동화 로봇 개발 · 디지털 건축기술의 실용화 및 보급/확산을 촉진하기 위한 인프라 구축 방안 마련</f>
        <v>#NAME?</v>
      </c>
    </row>
    <row r="270" spans="1:14">
      <c r="A270" t="s">
        <v>436</v>
      </c>
      <c r="B270">
        <v>269</v>
      </c>
      <c r="C270" t="s">
        <v>474</v>
      </c>
      <c r="D270">
        <v>2315</v>
      </c>
      <c r="E270">
        <v>2322</v>
      </c>
      <c r="J270">
        <v>1275</v>
      </c>
      <c r="K270">
        <v>1275</v>
      </c>
      <c r="M270" t="b">
        <v>1</v>
      </c>
    </row>
    <row r="271" spans="1:14">
      <c r="A271" t="s">
        <v>436</v>
      </c>
      <c r="B271">
        <v>270</v>
      </c>
      <c r="C271" t="s">
        <v>475</v>
      </c>
      <c r="D271">
        <v>2323</v>
      </c>
      <c r="E271">
        <v>2331</v>
      </c>
      <c r="J271">
        <v>2000</v>
      </c>
      <c r="K271">
        <v>2000</v>
      </c>
      <c r="M271" t="b">
        <v>1</v>
      </c>
      <c r="N271" t="s">
        <v>476</v>
      </c>
    </row>
    <row r="272" spans="1:14">
      <c r="A272" t="s">
        <v>436</v>
      </c>
      <c r="B272">
        <v>271</v>
      </c>
      <c r="C272" t="s">
        <v>477</v>
      </c>
      <c r="D272">
        <v>2332</v>
      </c>
      <c r="E272">
        <v>2340</v>
      </c>
      <c r="J272">
        <v>4000</v>
      </c>
      <c r="K272">
        <v>4000</v>
      </c>
      <c r="M272" t="b">
        <v>1</v>
      </c>
      <c r="N272" t="e">
        <f>- (디지털 트윈 기반 GTX 환승안전 및 혁신기술 개발) 제한된 GTX 수혜지역을 확대하고 환승센터내 인파 밀집으로 인한 혼잡을 해소하기 위한 GTX 환승센터의 접근성과 안전 향상 기술 개발을 통해 국민의 안전과 편의 제고</f>
        <v>#NAME?</v>
      </c>
    </row>
    <row r="273" spans="1:14">
      <c r="A273" t="s">
        <v>436</v>
      </c>
      <c r="B273">
        <v>272</v>
      </c>
      <c r="C273" t="s">
        <v>478</v>
      </c>
      <c r="D273">
        <v>2341</v>
      </c>
      <c r="E273">
        <v>2346</v>
      </c>
      <c r="J273">
        <v>3035</v>
      </c>
      <c r="K273">
        <v>3035</v>
      </c>
      <c r="M273" t="b">
        <v>1</v>
      </c>
      <c r="N273" t="e">
        <f>- (무안공항 차세대 전력망 구축) 태양광 발전시설 설치, 에너지 관리 시스템 도입을 통해 공항 에너지 자립･효율 향상 도모</f>
        <v>#NAME?</v>
      </c>
    </row>
    <row r="274" spans="1:14">
      <c r="A274" t="s">
        <v>436</v>
      </c>
      <c r="B274">
        <v>273</v>
      </c>
      <c r="C274" t="s">
        <v>479</v>
      </c>
      <c r="D274">
        <v>2347</v>
      </c>
      <c r="E274">
        <v>2354</v>
      </c>
      <c r="F274">
        <v>2679</v>
      </c>
      <c r="G274">
        <v>3626</v>
      </c>
      <c r="H274">
        <v>3626</v>
      </c>
      <c r="J274">
        <v>6016</v>
      </c>
      <c r="K274">
        <v>2390</v>
      </c>
      <c r="L274">
        <v>65.900000000000006</v>
      </c>
      <c r="M274" t="b">
        <v>0</v>
      </c>
      <c r="N274" t="s">
        <v>480</v>
      </c>
    </row>
    <row r="275" spans="1:14">
      <c r="A275" t="s">
        <v>436</v>
      </c>
      <c r="B275">
        <v>274</v>
      </c>
      <c r="C275" t="s">
        <v>481</v>
      </c>
      <c r="D275">
        <v>2355</v>
      </c>
      <c r="E275">
        <v>2361</v>
      </c>
      <c r="J275">
        <v>3000</v>
      </c>
      <c r="K275">
        <v>3000</v>
      </c>
      <c r="M275" t="b">
        <v>1</v>
      </c>
      <c r="N275" t="e">
        <f>- (빅데이터기반철도네트워크설계및운영기술개발) 동 내역사업은 설계 및 운영계획 수립 단계부터 실제 열차 운영 시 발생할 수 있는 열차 지연 및 경합을 선제적으로 분석하여 철도 네트워크 성능 및 운영계획을 최적화할 수 있는 기술개발을 지원하는 것임</f>
        <v>#NAME?</v>
      </c>
    </row>
    <row r="276" spans="1:14">
      <c r="A276" t="s">
        <v>436</v>
      </c>
      <c r="B276">
        <v>275</v>
      </c>
      <c r="C276" t="s">
        <v>482</v>
      </c>
      <c r="D276">
        <v>2362</v>
      </c>
      <c r="E276">
        <v>2370</v>
      </c>
      <c r="G276">
        <v>2100</v>
      </c>
      <c r="H276">
        <v>2100</v>
      </c>
      <c r="J276">
        <v>5048</v>
      </c>
      <c r="K276">
        <v>2948</v>
      </c>
      <c r="L276">
        <v>140.4</v>
      </c>
      <c r="M276" t="b">
        <v>0</v>
      </c>
      <c r="N276" t="s">
        <v>483</v>
      </c>
    </row>
    <row r="277" spans="1:14">
      <c r="A277" t="s">
        <v>436</v>
      </c>
      <c r="B277">
        <v>276</v>
      </c>
      <c r="C277" t="s">
        <v>484</v>
      </c>
      <c r="D277">
        <v>2371</v>
      </c>
      <c r="E277">
        <v>2379</v>
      </c>
      <c r="F277">
        <v>2921</v>
      </c>
      <c r="G277">
        <v>6038</v>
      </c>
      <c r="H277">
        <v>6038</v>
      </c>
      <c r="J277">
        <v>6000</v>
      </c>
      <c r="K277">
        <v>-38</v>
      </c>
      <c r="L277">
        <v>-0.6</v>
      </c>
      <c r="M277" t="b">
        <v>0</v>
      </c>
      <c r="N277" t="s">
        <v>485</v>
      </c>
    </row>
    <row r="278" spans="1:14">
      <c r="A278" t="s">
        <v>436</v>
      </c>
      <c r="B278">
        <v>277</v>
      </c>
      <c r="C278" t="s">
        <v>486</v>
      </c>
      <c r="D278">
        <v>2380</v>
      </c>
      <c r="E278">
        <v>2403</v>
      </c>
      <c r="F278">
        <v>76180</v>
      </c>
      <c r="G278">
        <v>17312</v>
      </c>
      <c r="H278">
        <v>17312</v>
      </c>
      <c r="J278">
        <v>28115</v>
      </c>
      <c r="K278">
        <v>10803</v>
      </c>
      <c r="L278">
        <v>82.6</v>
      </c>
      <c r="M278" t="b">
        <v>0</v>
      </c>
      <c r="N278" t="s">
        <v>487</v>
      </c>
    </row>
    <row r="279" spans="1:14">
      <c r="A279" t="s">
        <v>436</v>
      </c>
      <c r="B279">
        <v>278</v>
      </c>
      <c r="C279" t="s">
        <v>488</v>
      </c>
      <c r="D279">
        <v>2404</v>
      </c>
      <c r="E279">
        <v>2411</v>
      </c>
      <c r="J279">
        <v>2000</v>
      </c>
      <c r="K279">
        <v>2000</v>
      </c>
      <c r="M279" t="b">
        <v>1</v>
      </c>
      <c r="N279" t="e">
        <f>- (스마트철도물류혁신기술개발) 동 내역사업은 철도물류 경쟁력 회복을 목적으로, 철도물류에 대한 물류시장의 요구사항에 대응하기 위한 무환적·고속 철도물류 시스템 기술개발을 지원하는 것임</f>
        <v>#NAME?</v>
      </c>
    </row>
    <row r="280" spans="1:14">
      <c r="A280" t="s">
        <v>436</v>
      </c>
      <c r="B280">
        <v>279</v>
      </c>
      <c r="C280" t="s">
        <v>489</v>
      </c>
      <c r="D280">
        <v>2412</v>
      </c>
      <c r="E280">
        <v>2420</v>
      </c>
      <c r="J280">
        <v>2600</v>
      </c>
      <c r="K280">
        <v>2600</v>
      </c>
      <c r="M280" t="b">
        <v>1</v>
      </c>
      <c r="N280" t="e">
        <f>- (운전자 페달 오조작 방지 및 평가 기술개발) 운전자의 페달 오조작으로 인한 교통 사고 예방을 위해 페달 오조작 판단·방지 평가 기술, 안전성 평가기술, 안전기준 제도화 방안을 개발하여 국민의 생명과 재산 보호</f>
        <v>#NAME?</v>
      </c>
    </row>
    <row r="281" spans="1:14">
      <c r="A281" t="s">
        <v>436</v>
      </c>
      <c r="B281">
        <v>280</v>
      </c>
      <c r="C281" t="s">
        <v>490</v>
      </c>
      <c r="D281">
        <v>2421</v>
      </c>
      <c r="E281">
        <v>2441</v>
      </c>
      <c r="F281">
        <v>42900</v>
      </c>
      <c r="G281">
        <v>9354</v>
      </c>
      <c r="H281">
        <v>9354</v>
      </c>
      <c r="J281">
        <v>9429</v>
      </c>
      <c r="K281">
        <v>475</v>
      </c>
      <c r="L281">
        <v>5.0999999999999996</v>
      </c>
      <c r="M281" t="b">
        <v>0</v>
      </c>
      <c r="N281" t="s">
        <v>491</v>
      </c>
    </row>
    <row r="282" spans="1:14">
      <c r="A282" t="s">
        <v>436</v>
      </c>
      <c r="B282">
        <v>281</v>
      </c>
      <c r="C282" t="s">
        <v>492</v>
      </c>
      <c r="D282">
        <v>2442</v>
      </c>
      <c r="E282">
        <v>2452</v>
      </c>
      <c r="G282">
        <v>3400</v>
      </c>
      <c r="J282">
        <v>3400</v>
      </c>
      <c r="K282">
        <v>3400</v>
      </c>
      <c r="M282" t="b">
        <v>1</v>
      </c>
      <c r="N282" t="s">
        <v>493</v>
      </c>
    </row>
    <row r="283" spans="1:14">
      <c r="A283" t="s">
        <v>436</v>
      </c>
      <c r="B283">
        <v>282</v>
      </c>
      <c r="C283" t="s">
        <v>494</v>
      </c>
      <c r="D283">
        <v>2453</v>
      </c>
      <c r="E283">
        <v>2459</v>
      </c>
      <c r="J283">
        <v>2000</v>
      </c>
      <c r="K283">
        <v>2000</v>
      </c>
      <c r="M283" t="b">
        <v>1</v>
      </c>
      <c r="N283" t="s">
        <v>495</v>
      </c>
    </row>
    <row r="284" spans="1:14">
      <c r="A284" t="s">
        <v>436</v>
      </c>
      <c r="B284">
        <v>283</v>
      </c>
      <c r="C284" t="s">
        <v>496</v>
      </c>
      <c r="D284">
        <v>2460</v>
      </c>
      <c r="E284">
        <v>2466</v>
      </c>
      <c r="J284">
        <v>4500</v>
      </c>
      <c r="K284">
        <v>4500</v>
      </c>
      <c r="M284" t="b">
        <v>1</v>
      </c>
      <c r="N284" t="s">
        <v>497</v>
      </c>
    </row>
    <row r="285" spans="1:14">
      <c r="A285" t="s">
        <v>436</v>
      </c>
      <c r="B285">
        <v>284</v>
      </c>
      <c r="C285" t="s">
        <v>498</v>
      </c>
      <c r="D285">
        <v>2467</v>
      </c>
      <c r="E285">
        <v>2474</v>
      </c>
      <c r="J285">
        <v>2169</v>
      </c>
      <c r="K285">
        <v>2169</v>
      </c>
      <c r="M285" t="b">
        <v>1</v>
      </c>
      <c r="N285" t="s">
        <v>499</v>
      </c>
    </row>
    <row r="286" spans="1:14">
      <c r="A286" t="s">
        <v>436</v>
      </c>
      <c r="B286">
        <v>285</v>
      </c>
      <c r="C286" t="s">
        <v>500</v>
      </c>
      <c r="D286">
        <v>2475</v>
      </c>
      <c r="E286">
        <v>2482</v>
      </c>
      <c r="F286">
        <v>10252</v>
      </c>
      <c r="G286">
        <v>10234</v>
      </c>
      <c r="H286">
        <v>10234</v>
      </c>
      <c r="J286">
        <v>13599</v>
      </c>
      <c r="K286">
        <v>3365</v>
      </c>
      <c r="L286">
        <v>32.9</v>
      </c>
      <c r="M286" t="b">
        <v>0</v>
      </c>
      <c r="N286" t="s">
        <v>501</v>
      </c>
    </row>
    <row r="287" spans="1:14">
      <c r="A287" t="s">
        <v>436</v>
      </c>
      <c r="B287">
        <v>286</v>
      </c>
      <c r="C287" t="s">
        <v>502</v>
      </c>
      <c r="D287">
        <v>2483</v>
      </c>
      <c r="E287">
        <v>2494</v>
      </c>
      <c r="J287">
        <v>2000</v>
      </c>
      <c r="K287">
        <v>2000</v>
      </c>
      <c r="M287" t="b">
        <v>1</v>
      </c>
      <c r="N287" t="s">
        <v>503</v>
      </c>
    </row>
    <row r="288" spans="1:14">
      <c r="A288" t="s">
        <v>436</v>
      </c>
      <c r="B288">
        <v>287</v>
      </c>
      <c r="C288" t="s">
        <v>504</v>
      </c>
      <c r="D288">
        <v>2495</v>
      </c>
      <c r="E288">
        <v>2501</v>
      </c>
      <c r="J288">
        <v>4000</v>
      </c>
      <c r="K288">
        <v>4000</v>
      </c>
      <c r="M288" t="b">
        <v>1</v>
      </c>
      <c r="N288" t="s">
        <v>505</v>
      </c>
    </row>
    <row r="289" spans="1:14">
      <c r="A289" t="s">
        <v>506</v>
      </c>
      <c r="B289">
        <v>288</v>
      </c>
      <c r="C289" t="s">
        <v>507</v>
      </c>
      <c r="D289">
        <v>2502</v>
      </c>
      <c r="E289">
        <v>2506</v>
      </c>
      <c r="F289">
        <v>4626</v>
      </c>
      <c r="G289">
        <v>4947</v>
      </c>
      <c r="H289">
        <v>4947</v>
      </c>
      <c r="I289">
        <v>4801</v>
      </c>
      <c r="J289">
        <v>4801</v>
      </c>
      <c r="K289">
        <v>-146</v>
      </c>
      <c r="L289">
        <v>-3</v>
      </c>
      <c r="M289" t="b">
        <v>0</v>
      </c>
      <c r="N289" t="s">
        <v>508</v>
      </c>
    </row>
    <row r="290" spans="1:14">
      <c r="A290" t="s">
        <v>506</v>
      </c>
      <c r="B290">
        <v>289</v>
      </c>
      <c r="C290" t="s">
        <v>509</v>
      </c>
      <c r="D290">
        <v>2507</v>
      </c>
      <c r="E290">
        <v>2512</v>
      </c>
      <c r="I290">
        <v>1000000</v>
      </c>
      <c r="J290">
        <v>1000000</v>
      </c>
      <c r="K290">
        <v>1000000</v>
      </c>
      <c r="L290">
        <v>100</v>
      </c>
      <c r="M290" t="b">
        <v>1</v>
      </c>
      <c r="N290" t="s">
        <v>510</v>
      </c>
    </row>
    <row r="291" spans="1:14">
      <c r="A291" t="s">
        <v>506</v>
      </c>
      <c r="B291">
        <v>290</v>
      </c>
      <c r="C291" t="s">
        <v>511</v>
      </c>
      <c r="D291">
        <v>2513</v>
      </c>
      <c r="E291">
        <v>2517</v>
      </c>
      <c r="F291">
        <v>1364</v>
      </c>
      <c r="G291">
        <v>2034</v>
      </c>
      <c r="H291">
        <v>2034</v>
      </c>
      <c r="I291">
        <v>4911</v>
      </c>
      <c r="J291">
        <v>2244</v>
      </c>
      <c r="K291">
        <v>210</v>
      </c>
      <c r="L291">
        <v>10.3</v>
      </c>
      <c r="M291" t="b">
        <v>0</v>
      </c>
      <c r="N291" t="e">
        <f>- ‘빅데이터 플랫폼’ 구축·운영을 통해 신뢰성 높은 기업 데이터와 신용정보서비스를 공공·민간에 제공함으로써 기업 지원 강화 및 기업 데이터 시장 활성화 촉진</f>
        <v>#NAME?</v>
      </c>
    </row>
    <row r="292" spans="1:14">
      <c r="A292" t="s">
        <v>512</v>
      </c>
      <c r="B292">
        <v>291</v>
      </c>
      <c r="C292" t="s">
        <v>513</v>
      </c>
      <c r="D292">
        <v>2518</v>
      </c>
      <c r="E292">
        <v>2540</v>
      </c>
      <c r="F292">
        <v>26916</v>
      </c>
      <c r="G292">
        <v>32753</v>
      </c>
      <c r="H292">
        <v>32753</v>
      </c>
      <c r="I292">
        <v>34801</v>
      </c>
      <c r="J292">
        <v>34801</v>
      </c>
      <c r="K292">
        <v>2048</v>
      </c>
      <c r="L292">
        <v>6.3</v>
      </c>
      <c r="M292" t="b">
        <v>0</v>
      </c>
      <c r="N292" t="s">
        <v>514</v>
      </c>
    </row>
    <row r="293" spans="1:14">
      <c r="A293" t="s">
        <v>512</v>
      </c>
      <c r="B293">
        <v>292</v>
      </c>
      <c r="C293" t="s">
        <v>515</v>
      </c>
      <c r="D293">
        <v>2541</v>
      </c>
      <c r="E293">
        <v>2548</v>
      </c>
      <c r="G293">
        <v>4800</v>
      </c>
      <c r="H293">
        <v>4800</v>
      </c>
      <c r="I293">
        <v>7300</v>
      </c>
      <c r="J293">
        <v>7300</v>
      </c>
      <c r="K293">
        <v>2500</v>
      </c>
      <c r="L293">
        <v>52.1</v>
      </c>
      <c r="M293" t="b">
        <v>0</v>
      </c>
      <c r="N293" t="s">
        <v>516</v>
      </c>
    </row>
    <row r="294" spans="1:14">
      <c r="A294" t="s">
        <v>512</v>
      </c>
      <c r="B294">
        <v>293</v>
      </c>
      <c r="C294" t="s">
        <v>517</v>
      </c>
      <c r="D294">
        <v>2549</v>
      </c>
      <c r="E294">
        <v>2560</v>
      </c>
      <c r="F294">
        <v>13966</v>
      </c>
      <c r="G294">
        <v>10830</v>
      </c>
      <c r="H294">
        <v>10830</v>
      </c>
      <c r="I294">
        <v>6780</v>
      </c>
      <c r="J294">
        <v>6780</v>
      </c>
      <c r="K294">
        <v>-4050</v>
      </c>
      <c r="L294">
        <v>-37.4</v>
      </c>
      <c r="M294" t="b">
        <v>0</v>
      </c>
      <c r="N294" t="s">
        <v>518</v>
      </c>
    </row>
    <row r="295" spans="1:14">
      <c r="A295" t="s">
        <v>519</v>
      </c>
      <c r="B295">
        <v>294</v>
      </c>
      <c r="C295" t="s">
        <v>520</v>
      </c>
      <c r="D295">
        <v>2561</v>
      </c>
      <c r="E295">
        <v>2566</v>
      </c>
      <c r="F295">
        <v>21763</v>
      </c>
      <c r="G295">
        <v>20770</v>
      </c>
      <c r="H295">
        <v>20770</v>
      </c>
      <c r="J295">
        <v>21941</v>
      </c>
      <c r="K295">
        <v>1547</v>
      </c>
      <c r="L295">
        <v>7.4</v>
      </c>
      <c r="M295" t="b">
        <v>0</v>
      </c>
      <c r="N295" t="e">
        <f>- (디지털예산회계시스템 운영) 국가 재정업무 전 과정의 통합적 수행을 지원하는 디지털 예산회계시스템의 안정적 운영 및 시스템 기능의 지속적 개선</f>
        <v>#NAME?</v>
      </c>
    </row>
    <row r="296" spans="1:14">
      <c r="A296" t="s">
        <v>521</v>
      </c>
      <c r="B296">
        <v>295</v>
      </c>
      <c r="C296" t="s">
        <v>522</v>
      </c>
      <c r="D296">
        <v>2567</v>
      </c>
      <c r="E296">
        <v>2574</v>
      </c>
      <c r="J296">
        <v>217116</v>
      </c>
      <c r="K296">
        <v>217116</v>
      </c>
      <c r="M296" t="b">
        <v>1</v>
      </c>
      <c r="N296" t="s">
        <v>523</v>
      </c>
    </row>
    <row r="297" spans="1:14">
      <c r="A297" t="s">
        <v>521</v>
      </c>
      <c r="B297">
        <v>296</v>
      </c>
      <c r="C297" t="s">
        <v>524</v>
      </c>
      <c r="D297">
        <v>2575</v>
      </c>
      <c r="E297">
        <v>2581</v>
      </c>
      <c r="J297">
        <v>3400</v>
      </c>
      <c r="K297">
        <v>3400</v>
      </c>
      <c r="M297" t="b">
        <v>1</v>
      </c>
      <c r="N297" t="s">
        <v>525</v>
      </c>
    </row>
    <row r="298" spans="1:14">
      <c r="A298" t="s">
        <v>521</v>
      </c>
      <c r="B298">
        <v>297</v>
      </c>
      <c r="C298" t="s">
        <v>526</v>
      </c>
      <c r="D298">
        <v>2582</v>
      </c>
      <c r="E298">
        <v>2590</v>
      </c>
      <c r="F298">
        <v>1200</v>
      </c>
      <c r="G298">
        <v>4164</v>
      </c>
      <c r="H298">
        <v>4164</v>
      </c>
      <c r="J298">
        <v>9446</v>
      </c>
      <c r="K298">
        <v>5282</v>
      </c>
      <c r="M298" t="b">
        <v>0</v>
      </c>
      <c r="N298" t="s">
        <v>527</v>
      </c>
    </row>
    <row r="299" spans="1:14">
      <c r="A299" t="s">
        <v>521</v>
      </c>
      <c r="B299">
        <v>298</v>
      </c>
      <c r="C299" t="s">
        <v>528</v>
      </c>
      <c r="D299">
        <v>2591</v>
      </c>
      <c r="E299">
        <v>2597</v>
      </c>
      <c r="J299">
        <v>50000</v>
      </c>
      <c r="K299">
        <v>30500</v>
      </c>
      <c r="M299" t="b">
        <v>1</v>
      </c>
      <c r="N299" t="s">
        <v>529</v>
      </c>
    </row>
    <row r="300" spans="1:14">
      <c r="A300" t="s">
        <v>521</v>
      </c>
      <c r="B300">
        <v>299</v>
      </c>
      <c r="C300" t="s">
        <v>530</v>
      </c>
      <c r="D300">
        <v>2598</v>
      </c>
      <c r="E300">
        <v>2607</v>
      </c>
      <c r="J300">
        <v>24500</v>
      </c>
      <c r="K300">
        <v>24500</v>
      </c>
      <c r="M300" t="b">
        <v>1</v>
      </c>
      <c r="N300" t="s">
        <v>531</v>
      </c>
    </row>
    <row r="301" spans="1:14">
      <c r="A301" t="s">
        <v>521</v>
      </c>
      <c r="B301">
        <v>300</v>
      </c>
      <c r="C301" t="s">
        <v>532</v>
      </c>
      <c r="D301">
        <v>2608</v>
      </c>
      <c r="E301">
        <v>2631</v>
      </c>
      <c r="F301">
        <v>37478</v>
      </c>
      <c r="G301">
        <v>58634</v>
      </c>
      <c r="H301">
        <v>58634</v>
      </c>
      <c r="J301">
        <v>73643</v>
      </c>
      <c r="K301">
        <v>-9929</v>
      </c>
      <c r="M301" t="b">
        <v>0</v>
      </c>
      <c r="N301" t="s">
        <v>533</v>
      </c>
    </row>
    <row r="302" spans="1:14">
      <c r="A302" t="s">
        <v>521</v>
      </c>
      <c r="B302">
        <v>301</v>
      </c>
      <c r="C302" t="s">
        <v>534</v>
      </c>
      <c r="D302">
        <v>2632</v>
      </c>
      <c r="E302">
        <v>2643</v>
      </c>
      <c r="F302">
        <v>257294</v>
      </c>
      <c r="G302">
        <v>262157</v>
      </c>
      <c r="H302">
        <v>262157</v>
      </c>
      <c r="J302">
        <v>296948</v>
      </c>
      <c r="K302">
        <v>34791</v>
      </c>
      <c r="M302" t="b">
        <v>0</v>
      </c>
      <c r="N302" t="s">
        <v>535</v>
      </c>
    </row>
    <row r="303" spans="1:14">
      <c r="A303" t="s">
        <v>521</v>
      </c>
      <c r="B303">
        <v>302</v>
      </c>
      <c r="C303" t="s">
        <v>536</v>
      </c>
      <c r="D303">
        <v>2644</v>
      </c>
      <c r="E303">
        <v>2656</v>
      </c>
      <c r="F303">
        <v>74942</v>
      </c>
      <c r="G303">
        <v>70242</v>
      </c>
      <c r="H303">
        <v>70242</v>
      </c>
      <c r="J303">
        <v>76928</v>
      </c>
      <c r="K303">
        <v>6686</v>
      </c>
      <c r="M303" t="b">
        <v>0</v>
      </c>
      <c r="N303" t="s">
        <v>537</v>
      </c>
    </row>
    <row r="304" spans="1:14">
      <c r="A304" t="s">
        <v>521</v>
      </c>
      <c r="B304">
        <v>303</v>
      </c>
      <c r="C304" t="s">
        <v>538</v>
      </c>
      <c r="D304">
        <v>2657</v>
      </c>
      <c r="E304">
        <v>2665</v>
      </c>
      <c r="J304">
        <v>3500</v>
      </c>
      <c r="K304">
        <v>3500</v>
      </c>
      <c r="M304" t="b">
        <v>1</v>
      </c>
      <c r="N304" t="s">
        <v>539</v>
      </c>
    </row>
    <row r="305" spans="1:14">
      <c r="A305" t="s">
        <v>521</v>
      </c>
      <c r="B305">
        <v>304</v>
      </c>
      <c r="C305" t="s">
        <v>540</v>
      </c>
      <c r="D305">
        <v>2666</v>
      </c>
      <c r="E305">
        <v>2675</v>
      </c>
      <c r="J305">
        <v>29897</v>
      </c>
      <c r="K305">
        <v>29897</v>
      </c>
      <c r="M305" t="b">
        <v>1</v>
      </c>
      <c r="N305" t="s">
        <v>541</v>
      </c>
    </row>
    <row r="306" spans="1:14">
      <c r="A306" t="s">
        <v>521</v>
      </c>
      <c r="B306">
        <v>305</v>
      </c>
      <c r="C306" t="s">
        <v>542</v>
      </c>
      <c r="D306">
        <v>2676</v>
      </c>
      <c r="E306">
        <v>2682</v>
      </c>
      <c r="J306">
        <v>5900</v>
      </c>
      <c r="K306">
        <v>5900</v>
      </c>
      <c r="M306" t="b">
        <v>1</v>
      </c>
      <c r="N306" t="s">
        <v>543</v>
      </c>
    </row>
    <row r="307" spans="1:14">
      <c r="A307" t="s">
        <v>521</v>
      </c>
      <c r="B307">
        <v>306</v>
      </c>
      <c r="C307" t="s">
        <v>544</v>
      </c>
      <c r="D307">
        <v>2683</v>
      </c>
      <c r="E307">
        <v>2702</v>
      </c>
      <c r="F307">
        <v>52071</v>
      </c>
      <c r="G307">
        <v>51504</v>
      </c>
      <c r="H307">
        <v>51504</v>
      </c>
      <c r="J307">
        <v>47356</v>
      </c>
      <c r="K307">
        <v>826</v>
      </c>
      <c r="M307" t="b">
        <v>0</v>
      </c>
      <c r="N307" t="s">
        <v>545</v>
      </c>
    </row>
    <row r="308" spans="1:14">
      <c r="A308" t="s">
        <v>521</v>
      </c>
      <c r="B308">
        <v>307</v>
      </c>
      <c r="C308" t="s">
        <v>546</v>
      </c>
      <c r="D308">
        <v>2703</v>
      </c>
      <c r="E308">
        <v>2709</v>
      </c>
      <c r="J308">
        <v>1600</v>
      </c>
      <c r="K308">
        <v>1600</v>
      </c>
      <c r="M308" t="b">
        <v>1</v>
      </c>
      <c r="N308" t="s">
        <v>547</v>
      </c>
    </row>
    <row r="309" spans="1:14">
      <c r="A309" t="s">
        <v>521</v>
      </c>
      <c r="B309">
        <v>308</v>
      </c>
      <c r="C309" t="s">
        <v>548</v>
      </c>
      <c r="D309">
        <v>2710</v>
      </c>
      <c r="E309">
        <v>2718</v>
      </c>
      <c r="G309">
        <v>3700</v>
      </c>
      <c r="H309">
        <v>3700</v>
      </c>
      <c r="J309">
        <v>7800</v>
      </c>
      <c r="K309">
        <v>4100</v>
      </c>
      <c r="M309" t="b">
        <v>0</v>
      </c>
      <c r="N309" t="s">
        <v>549</v>
      </c>
    </row>
    <row r="310" spans="1:14">
      <c r="A310" t="s">
        <v>521</v>
      </c>
      <c r="B310">
        <v>309</v>
      </c>
      <c r="C310" t="s">
        <v>550</v>
      </c>
      <c r="D310">
        <v>2719</v>
      </c>
      <c r="E310">
        <v>2739</v>
      </c>
      <c r="F310">
        <v>29252</v>
      </c>
      <c r="G310">
        <v>59182</v>
      </c>
      <c r="H310">
        <v>59182</v>
      </c>
      <c r="J310">
        <v>68827</v>
      </c>
      <c r="K310">
        <v>10870</v>
      </c>
      <c r="M310" t="b">
        <v>0</v>
      </c>
      <c r="N310" t="s">
        <v>551</v>
      </c>
    </row>
    <row r="311" spans="1:14">
      <c r="A311" t="s">
        <v>521</v>
      </c>
      <c r="B311">
        <v>310</v>
      </c>
      <c r="C311" t="s">
        <v>552</v>
      </c>
      <c r="D311">
        <v>2740</v>
      </c>
      <c r="E311">
        <v>2751</v>
      </c>
      <c r="F311">
        <v>5591</v>
      </c>
      <c r="G311">
        <v>5042</v>
      </c>
      <c r="H311">
        <v>5042</v>
      </c>
      <c r="J311">
        <v>6919</v>
      </c>
      <c r="K311">
        <v>2877</v>
      </c>
      <c r="M311" t="b">
        <v>0</v>
      </c>
      <c r="N311" t="s">
        <v>553</v>
      </c>
    </row>
    <row r="312" spans="1:14">
      <c r="A312" t="s">
        <v>521</v>
      </c>
      <c r="B312">
        <v>311</v>
      </c>
      <c r="C312" t="s">
        <v>554</v>
      </c>
      <c r="D312">
        <v>2752</v>
      </c>
      <c r="E312">
        <v>2761</v>
      </c>
      <c r="F312">
        <v>9500</v>
      </c>
      <c r="G312">
        <v>16720</v>
      </c>
      <c r="H312">
        <v>16720</v>
      </c>
      <c r="J312">
        <v>22380</v>
      </c>
      <c r="K312">
        <v>5660</v>
      </c>
      <c r="L312">
        <v>33.9</v>
      </c>
      <c r="M312" t="b">
        <v>0</v>
      </c>
      <c r="N312" t="s">
        <v>555</v>
      </c>
    </row>
    <row r="313" spans="1:14">
      <c r="A313" t="s">
        <v>521</v>
      </c>
      <c r="B313">
        <v>312</v>
      </c>
      <c r="C313" t="s">
        <v>556</v>
      </c>
      <c r="D313">
        <v>2762</v>
      </c>
      <c r="E313">
        <v>2769</v>
      </c>
      <c r="J313">
        <v>7000</v>
      </c>
      <c r="K313">
        <v>7000</v>
      </c>
      <c r="M313" t="b">
        <v>1</v>
      </c>
      <c r="N313" t="s">
        <v>557</v>
      </c>
    </row>
    <row r="314" spans="1:14">
      <c r="A314" t="s">
        <v>521</v>
      </c>
      <c r="B314">
        <v>313</v>
      </c>
      <c r="C314" t="s">
        <v>558</v>
      </c>
      <c r="D314">
        <v>2770</v>
      </c>
      <c r="E314">
        <v>2787</v>
      </c>
      <c r="F314">
        <v>65817</v>
      </c>
      <c r="G314">
        <v>48953</v>
      </c>
      <c r="H314">
        <v>53604</v>
      </c>
      <c r="J314">
        <v>64078</v>
      </c>
      <c r="K314">
        <v>15125</v>
      </c>
      <c r="M314" t="b">
        <v>0</v>
      </c>
      <c r="N314" t="s">
        <v>559</v>
      </c>
    </row>
    <row r="315" spans="1:14">
      <c r="A315" t="s">
        <v>521</v>
      </c>
      <c r="B315">
        <v>314</v>
      </c>
      <c r="C315" t="s">
        <v>560</v>
      </c>
      <c r="D315">
        <v>2788</v>
      </c>
      <c r="E315">
        <v>2800</v>
      </c>
      <c r="F315">
        <v>3330</v>
      </c>
      <c r="G315">
        <v>2729</v>
      </c>
      <c r="H315">
        <v>2729</v>
      </c>
      <c r="J315">
        <v>2515</v>
      </c>
      <c r="K315">
        <v>-514</v>
      </c>
      <c r="M315" t="b">
        <v>0</v>
      </c>
      <c r="N315" t="s">
        <v>561</v>
      </c>
    </row>
    <row r="316" spans="1:14">
      <c r="A316" t="s">
        <v>521</v>
      </c>
      <c r="B316">
        <v>315</v>
      </c>
      <c r="C316" t="s">
        <v>562</v>
      </c>
      <c r="D316">
        <v>2801</v>
      </c>
      <c r="E316">
        <v>2821</v>
      </c>
      <c r="F316">
        <v>3387</v>
      </c>
      <c r="G316">
        <v>3392</v>
      </c>
      <c r="H316">
        <v>3392</v>
      </c>
      <c r="J316">
        <v>3392</v>
      </c>
      <c r="K316">
        <v>-71</v>
      </c>
      <c r="M316" t="b">
        <v>0</v>
      </c>
      <c r="N316" t="s">
        <v>563</v>
      </c>
    </row>
    <row r="317" spans="1:14">
      <c r="A317" t="s">
        <v>521</v>
      </c>
      <c r="B317">
        <v>316</v>
      </c>
      <c r="C317" t="s">
        <v>564</v>
      </c>
      <c r="D317">
        <v>2822</v>
      </c>
      <c r="E317">
        <v>2831</v>
      </c>
      <c r="G317">
        <v>1233</v>
      </c>
      <c r="H317">
        <v>1233</v>
      </c>
      <c r="J317">
        <v>2052</v>
      </c>
      <c r="K317">
        <v>819</v>
      </c>
      <c r="L317">
        <v>66.400000000000006</v>
      </c>
      <c r="M317" t="b">
        <v>0</v>
      </c>
      <c r="N317" t="s">
        <v>565</v>
      </c>
    </row>
    <row r="318" spans="1:14">
      <c r="A318" t="s">
        <v>521</v>
      </c>
      <c r="B318">
        <v>317</v>
      </c>
      <c r="C318" t="s">
        <v>566</v>
      </c>
      <c r="D318">
        <v>2832</v>
      </c>
      <c r="E318">
        <v>2843</v>
      </c>
      <c r="F318">
        <v>154657</v>
      </c>
      <c r="G318">
        <v>93484</v>
      </c>
      <c r="H318">
        <v>15000</v>
      </c>
      <c r="J318">
        <v>97350</v>
      </c>
      <c r="K318">
        <v>3866</v>
      </c>
      <c r="L318">
        <v>4.13</v>
      </c>
      <c r="M318" t="b">
        <v>0</v>
      </c>
      <c r="N318" t="s">
        <v>567</v>
      </c>
    </row>
    <row r="319" spans="1:14">
      <c r="A319" t="s">
        <v>521</v>
      </c>
      <c r="B319">
        <v>318</v>
      </c>
      <c r="C319" t="s">
        <v>568</v>
      </c>
      <c r="D319">
        <v>2844</v>
      </c>
      <c r="E319">
        <v>2853</v>
      </c>
      <c r="G319">
        <v>2500</v>
      </c>
      <c r="H319">
        <v>2500</v>
      </c>
      <c r="J319">
        <v>7500</v>
      </c>
      <c r="K319">
        <v>5000</v>
      </c>
      <c r="L319">
        <v>200</v>
      </c>
      <c r="M319" t="b">
        <v>0</v>
      </c>
      <c r="N319" t="s">
        <v>569</v>
      </c>
    </row>
    <row r="320" spans="1:14">
      <c r="A320" t="s">
        <v>521</v>
      </c>
      <c r="B320">
        <v>319</v>
      </c>
      <c r="C320" t="s">
        <v>570</v>
      </c>
      <c r="D320">
        <v>2854</v>
      </c>
      <c r="E320">
        <v>2861</v>
      </c>
      <c r="J320">
        <v>4000</v>
      </c>
      <c r="K320">
        <v>4000</v>
      </c>
      <c r="M320" t="b">
        <v>1</v>
      </c>
      <c r="N320" t="s">
        <v>571</v>
      </c>
    </row>
    <row r="321" spans="1:14">
      <c r="A321" t="s">
        <v>521</v>
      </c>
      <c r="B321">
        <v>320</v>
      </c>
      <c r="C321" t="s">
        <v>572</v>
      </c>
      <c r="D321">
        <v>2862</v>
      </c>
      <c r="E321">
        <v>2869</v>
      </c>
      <c r="J321">
        <v>4000</v>
      </c>
      <c r="K321">
        <v>4000</v>
      </c>
      <c r="M321" t="b">
        <v>1</v>
      </c>
      <c r="N321" t="s">
        <v>573</v>
      </c>
    </row>
    <row r="322" spans="1:14">
      <c r="A322" t="s">
        <v>521</v>
      </c>
      <c r="B322">
        <v>321</v>
      </c>
      <c r="C322" t="s">
        <v>574</v>
      </c>
      <c r="D322">
        <v>2870</v>
      </c>
      <c r="E322">
        <v>2877</v>
      </c>
      <c r="J322">
        <v>4000</v>
      </c>
      <c r="K322">
        <v>4000</v>
      </c>
      <c r="M322" t="b">
        <v>1</v>
      </c>
      <c r="N322" t="e">
        <f ca="1">- (전력망물리기반AI모델개발및실증) 국가기간 전력망 EMS에 AI 적용을 통해 전력망 운영 소프트웨어 최적화, 안정성 강화 및 미래형 전력망 구축에 기여 - (물리기반인공지능을활용한전력망운영·계획기술개발) 실계통 데이터 기반 국가전력망 EMS 맞춤 발전 스케줄링 최적화 및 전력계통 제어·예측·해석 AI 모델 개발 - (국가전력망특화가상화테스트베드구축및모델평가도구개발) 국가전력망 가상화 테스트 베드(디지털 트윈) 설계·구축 및 실계통 수준 실증 추진</f>
        <v>#NAME?</v>
      </c>
    </row>
    <row r="323" spans="1:14">
      <c r="A323" t="s">
        <v>521</v>
      </c>
      <c r="B323">
        <v>322</v>
      </c>
      <c r="C323" t="s">
        <v>575</v>
      </c>
      <c r="D323">
        <v>2878</v>
      </c>
      <c r="E323">
        <v>2884</v>
      </c>
      <c r="J323">
        <v>4500</v>
      </c>
      <c r="K323">
        <v>4500</v>
      </c>
      <c r="M323" t="b">
        <v>1</v>
      </c>
      <c r="N323" t="e">
        <f>- (차세대 해양·극지의 환경 및 생태계에 관한 기후예측시스템 개발) 신뢰도 높은 해양 환경 및 생태계 기후변화 감시예측을 위해 우리나라 특성을 반영한 국내 기술 기반의 해양기후 예측모델 개발</f>
        <v>#NAME?</v>
      </c>
    </row>
    <row r="324" spans="1:14">
      <c r="A324" t="s">
        <v>521</v>
      </c>
      <c r="B324">
        <v>323</v>
      </c>
      <c r="C324" t="s">
        <v>576</v>
      </c>
      <c r="D324">
        <v>2885</v>
      </c>
      <c r="E324">
        <v>2892</v>
      </c>
      <c r="J324">
        <v>3500</v>
      </c>
      <c r="K324">
        <v>3500</v>
      </c>
      <c r="M324" t="b">
        <v>1</v>
      </c>
      <c r="N324" t="s">
        <v>577</v>
      </c>
    </row>
    <row r="325" spans="1:14">
      <c r="A325" t="s">
        <v>521</v>
      </c>
      <c r="B325">
        <v>324</v>
      </c>
      <c r="C325" t="s">
        <v>578</v>
      </c>
      <c r="D325">
        <v>2893</v>
      </c>
      <c r="E325">
        <v>2899</v>
      </c>
      <c r="J325">
        <v>6700</v>
      </c>
      <c r="K325">
        <v>6700</v>
      </c>
      <c r="M325" t="b">
        <v>1</v>
      </c>
      <c r="N325" t="e">
        <f>- (환경보건 빅데이터 구축 및 AI 활용 고도화 기술개발사업) 빅데이터 및 AI를 활용하여 환경유해인자 노출에 따른 건강영향을 조기 감지·예측하여 건강피해를 선제적으로 예방·관리 - (구분1. 생체시료 동시·자동 분석) 환경유해인자의 인체 내 축적과 그에 따른 건강영향을 신속하게 파악하기 위해 생체 내 환경유해인자 동시·자동 분석 기술 고도화 - (구분2. AI 기반 개인 환경보건평가) 개인 생체정보를 실시간으로 확인 가능한 인체부 착형 측정기기를 고도화하고 AI 기반으로 환경정보와 연계하여 개인의 특성을 고려한 환경 보건 평가 기술개발 - (구분3. 빅데이터 및 AI 기반 지역 환경보건평가) 지역단위 환경보건 빅데이터 및 AI를 기반으로 환경보건 우려 지역 평가 플랫폼 개발</f>
        <v>#NAME?</v>
      </c>
    </row>
    <row r="326" spans="1:14">
      <c r="A326" t="s">
        <v>521</v>
      </c>
      <c r="B326">
        <v>325</v>
      </c>
      <c r="C326" t="s">
        <v>579</v>
      </c>
      <c r="D326">
        <v>2900</v>
      </c>
      <c r="E326">
        <v>2909</v>
      </c>
      <c r="F326">
        <v>1852</v>
      </c>
      <c r="G326">
        <v>1838</v>
      </c>
      <c r="H326">
        <v>1838</v>
      </c>
      <c r="J326">
        <v>1838</v>
      </c>
      <c r="K326">
        <v>0</v>
      </c>
      <c r="M326" t="b">
        <v>0</v>
      </c>
      <c r="N326" t="e">
        <f>- (목적) 기관별 또는 환경매체별 분산 구축·운영되고 있는 환경정보를 빅데이터 플랫폼을 통해 연계·수집 및 분석함으로써 데이터 기반의 과학적인 의사결정 지원 및 환경행정 구현 - (내용) 대기, 수질 등 환경매체별로 분산된 데이터를 단계적으로 연계‧수집하여 통합관 리 하고, 조직 구성원이 수집된 데이터를 전처리, 시각화, 분석 등 데이터를 쉽게 활용 할 수 있도록 환경데이터 공유 및 분석 인프라 구축</f>
        <v>#NAME?</v>
      </c>
    </row>
    <row r="327" spans="1:14">
      <c r="A327" t="s">
        <v>521</v>
      </c>
      <c r="B327">
        <v>326</v>
      </c>
      <c r="C327" t="s">
        <v>580</v>
      </c>
      <c r="D327">
        <v>2910</v>
      </c>
      <c r="E327">
        <v>2921</v>
      </c>
      <c r="F327">
        <v>3090</v>
      </c>
      <c r="G327">
        <v>3039</v>
      </c>
      <c r="H327">
        <v>3039</v>
      </c>
      <c r="J327">
        <v>3103</v>
      </c>
      <c r="K327">
        <v>-116</v>
      </c>
      <c r="M327" t="b">
        <v>0</v>
      </c>
      <c r="N327" t="s">
        <v>581</v>
      </c>
    </row>
    <row r="328" spans="1:14">
      <c r="A328" t="s">
        <v>521</v>
      </c>
      <c r="B328">
        <v>327</v>
      </c>
      <c r="C328" t="s">
        <v>582</v>
      </c>
      <c r="D328">
        <v>2922</v>
      </c>
      <c r="E328">
        <v>2935</v>
      </c>
      <c r="F328">
        <v>3864</v>
      </c>
      <c r="G328">
        <v>4377</v>
      </c>
      <c r="H328">
        <v>4377</v>
      </c>
      <c r="J328">
        <v>5487</v>
      </c>
      <c r="K328">
        <v>411</v>
      </c>
      <c r="M328" t="b">
        <v>0</v>
      </c>
      <c r="N328" t="s">
        <v>583</v>
      </c>
    </row>
    <row r="329" spans="1:14">
      <c r="A329" t="s">
        <v>584</v>
      </c>
      <c r="B329">
        <v>328</v>
      </c>
      <c r="C329" t="s">
        <v>585</v>
      </c>
      <c r="D329">
        <v>2936</v>
      </c>
      <c r="E329">
        <v>2940</v>
      </c>
      <c r="I329">
        <v>67500</v>
      </c>
      <c r="J329">
        <v>40000</v>
      </c>
      <c r="K329">
        <v>40000</v>
      </c>
      <c r="M329" t="b">
        <v>1</v>
      </c>
      <c r="N329" t="e">
        <f>- AI 등 첨단기술을 접목한 농식품 분야 제품의 신속한 상용화를 통해 현장 문제 해결및 산업고도화를 촉진, 국민체감형 스마트 농업 제품의 보급 확산 기반 마련</f>
        <v>#NAME?</v>
      </c>
    </row>
    <row r="330" spans="1:14">
      <c r="A330" t="s">
        <v>584</v>
      </c>
      <c r="B330">
        <v>329</v>
      </c>
      <c r="C330" t="s">
        <v>586</v>
      </c>
      <c r="D330">
        <v>2941</v>
      </c>
      <c r="E330">
        <v>2947</v>
      </c>
      <c r="I330">
        <v>6975</v>
      </c>
      <c r="J330">
        <v>6975</v>
      </c>
      <c r="K330">
        <v>6975</v>
      </c>
      <c r="M330" t="b">
        <v>1</v>
      </c>
      <c r="N330" t="e">
        <f ca="1">- (AX기반지능형농작업협업산업화기술개발) 농업·농촌 노동력 감소 난제 해결을 위해, 인공지능 전환(AX), 로봇 전환(RX) 기술 기반의 농업 로봇·드론 활용 및 협업기술 산업화 - (농작업협업로봇기술개발) 인력 중심의 고난이도·고강도 농작업을 로봇이 대체· 협업할 수 있도록 활용 기술 고도화 - (농작업드론활용기술개발) 농업 투입 인력 최소화를 위해 드론을 활용한 농작업 자동화 및 지능화 기술 고도화</f>
        <v>#NAME?</v>
      </c>
    </row>
    <row r="331" spans="1:14">
      <c r="A331" t="s">
        <v>584</v>
      </c>
      <c r="B331">
        <v>330</v>
      </c>
      <c r="C331" t="s">
        <v>587</v>
      </c>
      <c r="D331">
        <v>2948</v>
      </c>
      <c r="E331">
        <v>2956</v>
      </c>
      <c r="G331">
        <v>6150</v>
      </c>
      <c r="H331">
        <v>6150</v>
      </c>
      <c r="I331">
        <v>8200</v>
      </c>
      <c r="J331">
        <v>8200</v>
      </c>
      <c r="K331">
        <v>2050</v>
      </c>
      <c r="L331">
        <v>33.299999999999997</v>
      </c>
      <c r="M331" t="b">
        <v>0</v>
      </c>
      <c r="N331" t="s">
        <v>588</v>
      </c>
    </row>
    <row r="332" spans="1:14">
      <c r="A332" t="s">
        <v>584</v>
      </c>
      <c r="B332">
        <v>331</v>
      </c>
      <c r="C332" t="s">
        <v>589</v>
      </c>
      <c r="D332">
        <v>2957</v>
      </c>
      <c r="E332">
        <v>2966</v>
      </c>
      <c r="F332">
        <v>16225</v>
      </c>
      <c r="G332">
        <v>15609</v>
      </c>
      <c r="H332">
        <v>15609</v>
      </c>
      <c r="I332">
        <v>15609</v>
      </c>
      <c r="J332">
        <v>14843</v>
      </c>
      <c r="K332">
        <v>-766</v>
      </c>
      <c r="L332">
        <v>-4.9000000000000004</v>
      </c>
      <c r="M332" t="b">
        <v>0</v>
      </c>
      <c r="N332" t="s">
        <v>590</v>
      </c>
    </row>
    <row r="333" spans="1:14">
      <c r="A333" t="s">
        <v>584</v>
      </c>
      <c r="B333">
        <v>332</v>
      </c>
      <c r="C333" t="s">
        <v>591</v>
      </c>
      <c r="D333">
        <v>2967</v>
      </c>
      <c r="E333">
        <v>2977</v>
      </c>
      <c r="F333">
        <v>37611</v>
      </c>
      <c r="G333">
        <v>40880</v>
      </c>
      <c r="H333">
        <v>40880</v>
      </c>
      <c r="I333">
        <v>38887</v>
      </c>
      <c r="J333">
        <v>38887</v>
      </c>
      <c r="K333">
        <v>-1993</v>
      </c>
      <c r="L333">
        <v>-4.9000000000000004</v>
      </c>
      <c r="M333" t="b">
        <v>0</v>
      </c>
      <c r="N333" t="s">
        <v>592</v>
      </c>
    </row>
    <row r="334" spans="1:14">
      <c r="A334" t="s">
        <v>584</v>
      </c>
      <c r="B334">
        <v>333</v>
      </c>
      <c r="C334" t="s">
        <v>593</v>
      </c>
      <c r="D334">
        <v>2978</v>
      </c>
      <c r="E334">
        <v>2983</v>
      </c>
      <c r="I334">
        <v>70500</v>
      </c>
      <c r="J334">
        <v>70500</v>
      </c>
      <c r="K334">
        <v>70500</v>
      </c>
      <c r="M334" t="b">
        <v>1</v>
      </c>
      <c r="N334" t="s">
        <v>594</v>
      </c>
    </row>
    <row r="335" spans="1:14">
      <c r="A335" t="s">
        <v>584</v>
      </c>
      <c r="B335">
        <v>334</v>
      </c>
      <c r="C335" t="s">
        <v>595</v>
      </c>
      <c r="D335">
        <v>2984</v>
      </c>
      <c r="E335">
        <v>2990</v>
      </c>
      <c r="I335">
        <v>1575</v>
      </c>
      <c r="J335">
        <v>1575</v>
      </c>
      <c r="K335">
        <v>1575</v>
      </c>
      <c r="M335" t="b">
        <v>1</v>
      </c>
      <c r="N335" t="e">
        <f>- (농업농촌국민체감AX전환기술개발) 농촌지역 정주여건 개선 및 살기 좋은 농촌 생활 환경 기능 유지를 위해 AI 기술 등을 활용한 농업농촌 체감형 서비스 모델 개발 보급 - (농촌지역생활편의개선실증모델개발) 기존 정주인구 유출 최소화 및 신규 유입 촉진을 위한 농촌 생활편의 지원 서비스 모델 개발</f>
        <v>#NAME?</v>
      </c>
    </row>
    <row r="336" spans="1:14">
      <c r="A336" t="s">
        <v>584</v>
      </c>
      <c r="B336">
        <v>335</v>
      </c>
      <c r="C336" t="s">
        <v>596</v>
      </c>
      <c r="D336">
        <v>2991</v>
      </c>
      <c r="E336">
        <v>2997</v>
      </c>
      <c r="I336">
        <v>2775</v>
      </c>
      <c r="J336">
        <v>2775</v>
      </c>
      <c r="K336">
        <v>2775</v>
      </c>
      <c r="M336" t="b">
        <v>1</v>
      </c>
      <c r="N336" t="s">
        <v>597</v>
      </c>
    </row>
    <row r="337" spans="1:14">
      <c r="A337" t="s">
        <v>584</v>
      </c>
      <c r="B337">
        <v>336</v>
      </c>
      <c r="C337" t="s">
        <v>598</v>
      </c>
      <c r="D337">
        <v>2998</v>
      </c>
      <c r="E337">
        <v>3011</v>
      </c>
      <c r="F337">
        <v>15779</v>
      </c>
      <c r="G337">
        <v>16636</v>
      </c>
      <c r="H337">
        <v>16636</v>
      </c>
      <c r="I337">
        <v>17808</v>
      </c>
      <c r="J337">
        <v>17808</v>
      </c>
      <c r="K337">
        <v>1172</v>
      </c>
      <c r="L337">
        <v>7</v>
      </c>
      <c r="M337" t="b">
        <v>0</v>
      </c>
      <c r="N337" t="s">
        <v>599</v>
      </c>
    </row>
    <row r="338" spans="1:14">
      <c r="A338" t="s">
        <v>600</v>
      </c>
      <c r="B338">
        <v>337</v>
      </c>
      <c r="C338" t="s">
        <v>601</v>
      </c>
      <c r="D338">
        <v>3012</v>
      </c>
      <c r="E338">
        <v>3021</v>
      </c>
      <c r="I338">
        <v>7800</v>
      </c>
      <c r="J338">
        <v>7800</v>
      </c>
      <c r="K338">
        <v>7800</v>
      </c>
      <c r="M338" t="b">
        <v>1</v>
      </c>
      <c r="N338" t="e">
        <f ca="1">- (AI기반작물모니터링및진단플랫폼개발) 빅데이터·AI 기반의 작물 생육(식량작물·과수·시설원예) 자동 모니터링, 정밀 진단 및 예측기술을 개발하고, 주요 작목의 생육 전과정을 지능적으로 관리 할 수 있는 통합 영농관리서비스 플랫폼을 구축하여 농산물의 안정적 생산과 품질 향상 지원 - (노지 작물 생육 진단 자동화를 위한 AI 모델 개발) AI기반 노지 작물(식량작물‧과수) 생육 진단‧예측 모델 및 지능형 의사결정(작물관리, 농작업, 환경제어 등) 모델 개발 - (시설원예 작물 생육 진단 자동화를 위한 AI 모델 개발) AI기반 시설원예 작물 생육 진단‧예측 모델 및 지능형 의사결정(작물관리, 농작업, 환경제어 등) 모델 개발 - (표준기반 농업용 개방형 AI 플랫폼 개발 및 활용) 작물별 데이터, AI모델, 지능형 영농관리솔루션 등 서비스 제공을 위한 개방형 농업용 AI 플랫폼 개발 및 구축</f>
        <v>#NAME?</v>
      </c>
    </row>
    <row r="339" spans="1:14">
      <c r="A339" t="s">
        <v>600</v>
      </c>
      <c r="B339">
        <v>338</v>
      </c>
      <c r="C339" t="s">
        <v>602</v>
      </c>
      <c r="D339">
        <v>3022</v>
      </c>
      <c r="E339">
        <v>3031</v>
      </c>
      <c r="I339">
        <v>2000</v>
      </c>
      <c r="J339">
        <v>2000</v>
      </c>
      <c r="K339">
        <v>2000</v>
      </c>
      <c r="M339" t="b">
        <v>1</v>
      </c>
      <c r="N339" t="s">
        <v>603</v>
      </c>
    </row>
    <row r="340" spans="1:14">
      <c r="A340" t="s">
        <v>600</v>
      </c>
      <c r="B340">
        <v>339</v>
      </c>
      <c r="C340" t="s">
        <v>604</v>
      </c>
      <c r="D340">
        <v>3032</v>
      </c>
      <c r="E340">
        <v>3049</v>
      </c>
      <c r="F340">
        <v>7974</v>
      </c>
      <c r="G340">
        <v>7273</v>
      </c>
      <c r="H340">
        <v>7273</v>
      </c>
      <c r="I340">
        <v>7050</v>
      </c>
      <c r="J340">
        <v>6823</v>
      </c>
      <c r="K340">
        <v>-450</v>
      </c>
      <c r="L340">
        <v>-6.2</v>
      </c>
      <c r="M340" t="b">
        <v>0</v>
      </c>
      <c r="N340" t="s">
        <v>605</v>
      </c>
    </row>
    <row r="341" spans="1:14">
      <c r="A341" t="s">
        <v>600</v>
      </c>
      <c r="B341">
        <v>340</v>
      </c>
      <c r="C341" t="s">
        <v>606</v>
      </c>
      <c r="D341">
        <v>3050</v>
      </c>
      <c r="E341">
        <v>3058</v>
      </c>
      <c r="I341">
        <v>3000</v>
      </c>
      <c r="J341">
        <v>3000</v>
      </c>
      <c r="K341">
        <v>3000</v>
      </c>
      <c r="M341" t="b">
        <v>1</v>
      </c>
      <c r="N341" t="s">
        <v>607</v>
      </c>
    </row>
    <row r="342" spans="1:14">
      <c r="A342" t="s">
        <v>600</v>
      </c>
      <c r="B342">
        <v>341</v>
      </c>
      <c r="C342" t="s">
        <v>608</v>
      </c>
      <c r="D342">
        <v>3059</v>
      </c>
      <c r="E342">
        <v>3067</v>
      </c>
      <c r="I342">
        <v>1770</v>
      </c>
      <c r="J342">
        <v>1770</v>
      </c>
      <c r="K342">
        <v>1770</v>
      </c>
      <c r="M342" t="b">
        <v>1</v>
      </c>
      <c r="N342" t="s">
        <v>609</v>
      </c>
    </row>
    <row r="343" spans="1:14">
      <c r="A343" t="s">
        <v>600</v>
      </c>
      <c r="B343">
        <v>342</v>
      </c>
      <c r="C343" t="s">
        <v>598</v>
      </c>
      <c r="D343">
        <v>3068</v>
      </c>
      <c r="E343">
        <v>3082</v>
      </c>
      <c r="F343">
        <v>16643</v>
      </c>
      <c r="G343">
        <v>18180</v>
      </c>
      <c r="H343">
        <v>18180</v>
      </c>
      <c r="I343">
        <v>18708</v>
      </c>
      <c r="J343">
        <v>18708</v>
      </c>
      <c r="K343">
        <v>528</v>
      </c>
      <c r="L343">
        <v>2.9</v>
      </c>
      <c r="M343" t="b">
        <v>0</v>
      </c>
      <c r="N343" t="s">
        <v>610</v>
      </c>
    </row>
    <row r="344" spans="1:14">
      <c r="A344" t="s">
        <v>600</v>
      </c>
      <c r="B344">
        <v>343</v>
      </c>
      <c r="C344" t="s">
        <v>611</v>
      </c>
      <c r="D344">
        <v>3083</v>
      </c>
      <c r="E344">
        <v>3090</v>
      </c>
      <c r="I344">
        <v>2950</v>
      </c>
      <c r="J344">
        <v>2950</v>
      </c>
      <c r="K344">
        <v>2950</v>
      </c>
      <c r="M344" t="b">
        <v>1</v>
      </c>
      <c r="N344" t="s">
        <v>612</v>
      </c>
    </row>
    <row r="345" spans="1:14">
      <c r="A345" t="s">
        <v>600</v>
      </c>
      <c r="B345">
        <v>344</v>
      </c>
      <c r="C345" t="s">
        <v>613</v>
      </c>
      <c r="D345">
        <v>3091</v>
      </c>
      <c r="E345">
        <v>3097</v>
      </c>
      <c r="I345">
        <v>7500</v>
      </c>
      <c r="J345">
        <v>7500</v>
      </c>
      <c r="K345">
        <v>7500</v>
      </c>
      <c r="M345" t="b">
        <v>1</v>
      </c>
      <c r="N345" t="e">
        <f>- (특용작물유래천연활성바이오소재생산및활용기술개발) 농생명자원의 신가치 창출과 그린바이오산업 활성화를 위해 정밀농업 및 세포배양·합성생물학 등 최신 생명공학 기술을 활용하여 유용물질 최적생산기술을 개발 - (천연활성 바이오소재 생산 최적화 기술 개발) 동 내역사업은 원예특작자원 고부가 가치화를 위한 바이오데이터 생산 및 활용기술 개발을 통한 바이오소재 산업화 기반 확충하기 위한 사업으로 국내 지역특화작목 및 신품종 활용 기능성 소재 발굴, 특용 작물 바이오소재의 유용성분 증진 및 생산기술을 개발, 원예특작 바이오 데이터 생산 및 표준화를 위한 사업임 - (식물세포 기반 고부가 기능성 소재 대량생산 원천기술 개발) 동 내역사업은 식물 세포주 기반의 기능성 소재 대량 생산 플랫폼 개발 및 대사회로 정보 활용 소재 생산 최적화하는 것으로서, 고부가 기능성 소재 생산 최적화 식물세포와 대사경로 지식 기반의 목표소재 생산 최대화 기술 및 합성생물학 활용 목표소재 생산 극대화 식물세포주를 개발하고자 함</f>
        <v>#NAME?</v>
      </c>
    </row>
    <row r="346" spans="1:14">
      <c r="A346" t="s">
        <v>614</v>
      </c>
      <c r="B346">
        <v>345</v>
      </c>
      <c r="C346" t="s">
        <v>615</v>
      </c>
      <c r="D346">
        <v>3098</v>
      </c>
      <c r="E346">
        <v>3118</v>
      </c>
      <c r="F346">
        <v>40557</v>
      </c>
      <c r="G346">
        <v>33388</v>
      </c>
      <c r="H346">
        <v>33388</v>
      </c>
      <c r="I346">
        <v>34674</v>
      </c>
      <c r="J346">
        <v>30951</v>
      </c>
      <c r="K346">
        <v>-2437</v>
      </c>
      <c r="M346" t="b">
        <v>0</v>
      </c>
      <c r="N346" t="s">
        <v>616</v>
      </c>
    </row>
    <row r="347" spans="1:14">
      <c r="A347" t="s">
        <v>614</v>
      </c>
      <c r="B347">
        <v>346</v>
      </c>
      <c r="C347" t="s">
        <v>617</v>
      </c>
      <c r="D347">
        <v>3119</v>
      </c>
      <c r="E347">
        <v>3145</v>
      </c>
      <c r="F347">
        <v>48598</v>
      </c>
      <c r="G347">
        <v>72740</v>
      </c>
      <c r="H347">
        <v>72740</v>
      </c>
      <c r="I347">
        <v>112938</v>
      </c>
      <c r="J347">
        <v>82846</v>
      </c>
      <c r="K347">
        <v>10106</v>
      </c>
      <c r="M347" t="b">
        <v>0</v>
      </c>
      <c r="N347" t="s">
        <v>618</v>
      </c>
    </row>
    <row r="348" spans="1:14">
      <c r="A348" t="s">
        <v>619</v>
      </c>
      <c r="B348">
        <v>347</v>
      </c>
      <c r="C348" t="s">
        <v>620</v>
      </c>
      <c r="D348">
        <v>3146</v>
      </c>
      <c r="E348">
        <v>3154</v>
      </c>
      <c r="F348">
        <v>12768</v>
      </c>
      <c r="G348">
        <v>12444</v>
      </c>
      <c r="H348">
        <v>12444</v>
      </c>
      <c r="I348">
        <v>13400</v>
      </c>
      <c r="J348">
        <v>13400</v>
      </c>
      <c r="K348">
        <v>956</v>
      </c>
      <c r="L348">
        <v>7.7</v>
      </c>
      <c r="M348" t="b">
        <v>0</v>
      </c>
      <c r="N348" t="s">
        <v>621</v>
      </c>
    </row>
    <row r="349" spans="1:14">
      <c r="A349" t="s">
        <v>619</v>
      </c>
      <c r="B349">
        <v>348</v>
      </c>
      <c r="C349" t="s">
        <v>622</v>
      </c>
      <c r="D349">
        <v>3155</v>
      </c>
      <c r="E349">
        <v>3160</v>
      </c>
      <c r="I349">
        <v>3750</v>
      </c>
      <c r="J349">
        <v>3750</v>
      </c>
      <c r="K349">
        <v>3750</v>
      </c>
      <c r="M349" t="b">
        <v>1</v>
      </c>
      <c r="N349" t="e">
        <f ca="1">- (목적) 인공지능 전환(AX) 및 관광 패러다임 선도를 통한 트래블테크 기반 글로벌 관광대국도약 - (내용) 관광데이터와 인공지능을 중심으로 기술과 관광의 융합을 통한 관광데이터 거버넌스 강화 및 AI 융합 관광 특화기술을 개발하여, 급변하는 관광환경에 적극적 대응 및 관광서비스 품질 제고</f>
        <v>#NAME?</v>
      </c>
    </row>
    <row r="350" spans="1:14">
      <c r="A350" t="s">
        <v>619</v>
      </c>
      <c r="B350">
        <v>349</v>
      </c>
      <c r="C350" t="s">
        <v>623</v>
      </c>
      <c r="D350">
        <v>3161</v>
      </c>
      <c r="E350">
        <v>3165</v>
      </c>
      <c r="I350">
        <v>5725</v>
      </c>
      <c r="J350">
        <v>5725</v>
      </c>
      <c r="K350">
        <v>5725</v>
      </c>
      <c r="M350" t="b">
        <v>1</v>
      </c>
      <c r="N350" t="s">
        <v>624</v>
      </c>
    </row>
    <row r="351" spans="1:14">
      <c r="A351" t="s">
        <v>619</v>
      </c>
      <c r="B351">
        <v>350</v>
      </c>
      <c r="C351" t="s">
        <v>625</v>
      </c>
      <c r="D351">
        <v>3166</v>
      </c>
      <c r="E351">
        <v>3173</v>
      </c>
      <c r="F351">
        <v>13853</v>
      </c>
      <c r="G351">
        <v>12812</v>
      </c>
      <c r="H351">
        <v>12812</v>
      </c>
      <c r="I351">
        <v>11531</v>
      </c>
      <c r="J351">
        <v>11702</v>
      </c>
      <c r="K351">
        <v>-1110</v>
      </c>
      <c r="L351">
        <v>-8.6999999999999993</v>
      </c>
      <c r="M351" t="b">
        <v>0</v>
      </c>
      <c r="N351" t="s">
        <v>626</v>
      </c>
    </row>
    <row r="352" spans="1:14">
      <c r="A352" t="s">
        <v>619</v>
      </c>
      <c r="B352">
        <v>351</v>
      </c>
      <c r="C352" t="s">
        <v>627</v>
      </c>
      <c r="D352">
        <v>3174</v>
      </c>
      <c r="E352">
        <v>3178</v>
      </c>
      <c r="I352">
        <v>5200</v>
      </c>
      <c r="J352">
        <v>5200</v>
      </c>
      <c r="K352">
        <v>5200</v>
      </c>
      <c r="M352" t="b">
        <v>1</v>
      </c>
      <c r="N352" t="s">
        <v>628</v>
      </c>
    </row>
    <row r="353" spans="1:14">
      <c r="A353" t="s">
        <v>619</v>
      </c>
      <c r="B353">
        <v>352</v>
      </c>
      <c r="C353" t="s">
        <v>629</v>
      </c>
      <c r="D353">
        <v>3179</v>
      </c>
      <c r="E353">
        <v>3184</v>
      </c>
      <c r="G353">
        <v>7044</v>
      </c>
      <c r="H353">
        <v>7044</v>
      </c>
      <c r="I353">
        <v>7050</v>
      </c>
      <c r="J353">
        <v>6900</v>
      </c>
      <c r="K353">
        <v>-144</v>
      </c>
      <c r="L353">
        <v>-2</v>
      </c>
      <c r="M353" t="b">
        <v>0</v>
      </c>
      <c r="N353" t="s">
        <v>630</v>
      </c>
    </row>
    <row r="354" spans="1:14">
      <c r="A354" t="s">
        <v>619</v>
      </c>
      <c r="B354">
        <v>353</v>
      </c>
      <c r="C354" t="s">
        <v>631</v>
      </c>
      <c r="D354">
        <v>3185</v>
      </c>
      <c r="E354">
        <v>3189</v>
      </c>
      <c r="I354">
        <v>1750</v>
      </c>
      <c r="J354">
        <v>1750</v>
      </c>
      <c r="K354">
        <v>1750</v>
      </c>
      <c r="M354" t="b">
        <v>1</v>
      </c>
      <c r="N354" t="s">
        <v>632</v>
      </c>
    </row>
    <row r="355" spans="1:14">
      <c r="A355" t="s">
        <v>619</v>
      </c>
      <c r="B355">
        <v>354</v>
      </c>
      <c r="C355" t="s">
        <v>633</v>
      </c>
      <c r="D355">
        <v>3190</v>
      </c>
      <c r="E355">
        <v>3198</v>
      </c>
      <c r="F355">
        <v>29769</v>
      </c>
      <c r="G355">
        <v>37150</v>
      </c>
      <c r="H355">
        <v>69650</v>
      </c>
      <c r="I355">
        <v>43300</v>
      </c>
      <c r="J355">
        <v>43766</v>
      </c>
      <c r="K355">
        <v>-25884</v>
      </c>
      <c r="L355">
        <v>-37.200000000000003</v>
      </c>
      <c r="M355" t="b">
        <v>0</v>
      </c>
      <c r="N355" t="s">
        <v>634</v>
      </c>
    </row>
    <row r="356" spans="1:14">
      <c r="A356" t="s">
        <v>619</v>
      </c>
      <c r="B356">
        <v>355</v>
      </c>
      <c r="C356" t="s">
        <v>635</v>
      </c>
      <c r="D356">
        <v>3199</v>
      </c>
      <c r="E356">
        <v>3205</v>
      </c>
      <c r="F356">
        <v>2300</v>
      </c>
      <c r="G356">
        <v>4864</v>
      </c>
      <c r="H356">
        <v>4864</v>
      </c>
      <c r="I356">
        <v>6400</v>
      </c>
      <c r="J356">
        <v>6400</v>
      </c>
      <c r="K356">
        <v>1536</v>
      </c>
      <c r="L356">
        <v>31.6</v>
      </c>
      <c r="M356" t="b">
        <v>0</v>
      </c>
      <c r="N356" t="s">
        <v>636</v>
      </c>
    </row>
    <row r="357" spans="1:14">
      <c r="A357" t="s">
        <v>619</v>
      </c>
      <c r="B357">
        <v>356</v>
      </c>
      <c r="C357" t="s">
        <v>637</v>
      </c>
      <c r="D357">
        <v>3206</v>
      </c>
      <c r="E357">
        <v>3210</v>
      </c>
      <c r="I357">
        <v>3500</v>
      </c>
      <c r="J357">
        <v>2000</v>
      </c>
      <c r="K357">
        <v>2000</v>
      </c>
      <c r="M357" t="b">
        <v>1</v>
      </c>
      <c r="N357" t="e">
        <f>- (저작권 및 AI 산업 상생협력 지원) 합법적인 AI 학습데이터 활용 기반을 마련하여 창작자 권리보호-AI 산업 발전 지원을 통해 국가 경쟁력 강화 - (공공저작물 AI 학습데이터 개방 활성화) AI 사업자가 저작권 걱정없이 믿고 쓸 수 있는 공공저작물의 AI 학습데이터의 개방 확대를 통한 AI 업계 상생 지원 - (저작권 권리정보 제공·유통 플랫폼) 표준화된 권리관리정보 통합 DB 제공을 통해 학습용 데이터 권리자 확인 등에 소요되는 AI 사업자의 사회·경제적 비용 경감 및 신산업 성장 위험요인 해소</f>
        <v>#NAME?</v>
      </c>
    </row>
    <row r="358" spans="1:14">
      <c r="A358" t="s">
        <v>619</v>
      </c>
      <c r="B358">
        <v>357</v>
      </c>
      <c r="C358" t="s">
        <v>638</v>
      </c>
      <c r="D358">
        <v>3211</v>
      </c>
      <c r="E358">
        <v>3222</v>
      </c>
      <c r="F358">
        <v>30177</v>
      </c>
      <c r="G358">
        <v>26884</v>
      </c>
      <c r="H358">
        <v>26884</v>
      </c>
      <c r="I358">
        <v>28882</v>
      </c>
      <c r="J358">
        <v>28882</v>
      </c>
      <c r="K358">
        <v>1998</v>
      </c>
      <c r="L358">
        <v>7.4</v>
      </c>
      <c r="M358" t="b">
        <v>0</v>
      </c>
      <c r="N358" t="e">
        <f>- (저작권 보호활동 활성화) 저작권 환경변화에 대응하여 저작권 침해에 대한 지속적인 관리 및 감시체계 구축으로 저작권 보호와 문화산업 발전 도모 - (저작권 특별사법경찰 운영) 저작권 보호정책 추진을 위해 저작권 특별사법경찰관 들이 저작권 범죄의 수사 및 저작권 보호활동 수행 - (한국저작권보호원 지원) 한국저작권보호원 사업의 효과적 달성을 위해 ▲조직 및 인력 운영, ▲기반시설 및 자산 운영‧관리, ▲통합전산센터 운영 등 수행 - (국내 저작권 보호활동) 국내 저작권 침해대응을 위해 ▲저작권보호심의위원회를 통한 온라인 불법복제물 삭제·전송중단 등 시정권고, ▲K-콘텐츠 내돈내산 프로젝트, 저작권 침해 디지털과학수사 지원, 온라인 한류콘텐츠 보호를 위한 ▲저작권침해 재택 모니터링 사업, 저작권침해 종합대응체계 운영, 생성형 AI 활용 선진 저작권 보호 시스템 구축  등 수행 - (해외 저작권 보호·협력) 해외 저작권 침해대응을 위해 ▲해외 각국 저작권 보호 기관과의 협력체계 구축, ▲개도국 정부 대상 저작권 보호 법·제도, 기술 등 노하우 전수, ▲해외 침해대응체계 구축, ▲맞춤형 해외 저작권 바우처 지원, ▲인터폴 사업 분담금 지원 등을 통한 한류콘텐츠 보호 등 수행</f>
        <v>#NAME?</v>
      </c>
    </row>
    <row r="359" spans="1:14">
      <c r="A359" t="s">
        <v>619</v>
      </c>
      <c r="B359">
        <v>358</v>
      </c>
      <c r="C359" t="s">
        <v>639</v>
      </c>
      <c r="D359">
        <v>3223</v>
      </c>
      <c r="E359">
        <v>3245</v>
      </c>
      <c r="F359">
        <v>9421</v>
      </c>
      <c r="G359">
        <v>10071</v>
      </c>
      <c r="H359">
        <v>10071</v>
      </c>
      <c r="I359">
        <v>15266</v>
      </c>
      <c r="J359">
        <v>15266</v>
      </c>
      <c r="K359">
        <v>5195</v>
      </c>
      <c r="L359">
        <v>51.6</v>
      </c>
      <c r="M359" t="b">
        <v>0</v>
      </c>
      <c r="N359" t="s">
        <v>640</v>
      </c>
    </row>
    <row r="360" spans="1:14">
      <c r="A360" t="s">
        <v>641</v>
      </c>
      <c r="B360">
        <v>359</v>
      </c>
      <c r="C360" t="s">
        <v>211</v>
      </c>
      <c r="D360">
        <v>3246</v>
      </c>
      <c r="E360">
        <v>3252</v>
      </c>
      <c r="I360">
        <v>9767</v>
      </c>
      <c r="J360">
        <v>9767</v>
      </c>
      <c r="K360">
        <v>9767</v>
      </c>
      <c r="M360" t="b">
        <v>1</v>
      </c>
      <c r="N360" t="s">
        <v>642</v>
      </c>
    </row>
    <row r="361" spans="1:14">
      <c r="A361" t="s">
        <v>641</v>
      </c>
      <c r="B361">
        <v>360</v>
      </c>
      <c r="C361" t="s">
        <v>643</v>
      </c>
      <c r="D361">
        <v>3253</v>
      </c>
      <c r="E361">
        <v>3265</v>
      </c>
      <c r="F361">
        <v>17914</v>
      </c>
      <c r="G361">
        <v>19397</v>
      </c>
      <c r="H361">
        <v>19397</v>
      </c>
      <c r="I361">
        <v>16792</v>
      </c>
      <c r="J361">
        <v>16792</v>
      </c>
      <c r="K361">
        <v>-2605</v>
      </c>
      <c r="L361">
        <v>-13.4</v>
      </c>
      <c r="M361" t="b">
        <v>0</v>
      </c>
      <c r="N361" t="e">
        <f ca="1">- (AI·디지털 기반 방송프로그램 제작지원) 국내 방송 산업의 글로벌 경쟁력 강화를 위해 AI·디지털 기반의 방송 全단계(기획-제작-송출-수신) 지원 - (크리에이터미디어 산업기반 조성) 창작자 육성→콘텐츠 제작→해외진출에 이르는 전주기 지원을 통한 청년 일자리 창출 및 ‘크리에이터 이코노미’ 실현 - (지역 방송 제작역량 강화) 지역 융합인재 양성 및 AI 제작 환경 기반 조성을 위해 검증된 AI 솔루션을 활용한 AI제작 기술교육 및 실증 지원 - (AI·디지털 기반 미디어 융합인재) 전주기 방송인력 대상 AI·신기술 기반의 수요 맞춤형 교육을 통한 핵심 AI 융합인재 양성</f>
        <v>#NAME?</v>
      </c>
    </row>
    <row r="362" spans="1:14">
      <c r="A362" t="s">
        <v>641</v>
      </c>
      <c r="B362">
        <v>361</v>
      </c>
      <c r="C362" t="s">
        <v>644</v>
      </c>
      <c r="D362">
        <v>3266</v>
      </c>
      <c r="E362">
        <v>3274</v>
      </c>
      <c r="G362">
        <v>278</v>
      </c>
      <c r="I362">
        <v>278</v>
      </c>
      <c r="J362">
        <v>278</v>
      </c>
      <c r="M362" t="b">
        <v>0</v>
      </c>
      <c r="N362" t="s">
        <v>645</v>
      </c>
    </row>
    <row r="363" spans="1:14">
      <c r="A363" t="s">
        <v>641</v>
      </c>
      <c r="B363">
        <v>362</v>
      </c>
      <c r="C363" t="s">
        <v>646</v>
      </c>
      <c r="D363">
        <v>3275</v>
      </c>
      <c r="E363">
        <v>3283</v>
      </c>
      <c r="F363">
        <v>830</v>
      </c>
      <c r="G363">
        <v>792</v>
      </c>
      <c r="H363">
        <v>792</v>
      </c>
      <c r="I363">
        <v>781</v>
      </c>
      <c r="J363">
        <v>1141</v>
      </c>
      <c r="K363">
        <v>349</v>
      </c>
      <c r="L363">
        <v>44.1</v>
      </c>
      <c r="M363" t="b">
        <v>0</v>
      </c>
      <c r="N363" t="s">
        <v>647</v>
      </c>
    </row>
    <row r="364" spans="1:14">
      <c r="A364" t="s">
        <v>648</v>
      </c>
      <c r="B364">
        <v>363</v>
      </c>
      <c r="C364" t="s">
        <v>649</v>
      </c>
      <c r="D364">
        <v>3284</v>
      </c>
      <c r="E364">
        <v>3284</v>
      </c>
      <c r="I364">
        <v>627</v>
      </c>
      <c r="J364">
        <v>627</v>
      </c>
      <c r="K364">
        <v>627</v>
      </c>
      <c r="M364" t="b">
        <v>1</v>
      </c>
    </row>
    <row r="365" spans="1:14">
      <c r="A365" t="s">
        <v>650</v>
      </c>
      <c r="B365">
        <v>364</v>
      </c>
      <c r="C365" t="s">
        <v>651</v>
      </c>
      <c r="D365">
        <v>3285</v>
      </c>
      <c r="E365">
        <v>3296</v>
      </c>
      <c r="F365">
        <v>36312</v>
      </c>
      <c r="G365">
        <v>33339</v>
      </c>
      <c r="H365">
        <v>33339</v>
      </c>
      <c r="I365">
        <v>33314</v>
      </c>
      <c r="J365">
        <v>29633</v>
      </c>
      <c r="K365">
        <v>-3706</v>
      </c>
      <c r="L365">
        <v>-11.1</v>
      </c>
      <c r="M365" t="b">
        <v>0</v>
      </c>
      <c r="N365" t="s">
        <v>652</v>
      </c>
    </row>
    <row r="366" spans="1:14">
      <c r="A366" t="s">
        <v>650</v>
      </c>
      <c r="B366">
        <v>365</v>
      </c>
      <c r="C366" t="s">
        <v>653</v>
      </c>
      <c r="D366">
        <v>3297</v>
      </c>
      <c r="E366">
        <v>3317</v>
      </c>
      <c r="F366">
        <v>64815</v>
      </c>
      <c r="G366">
        <v>67337</v>
      </c>
      <c r="H366">
        <v>67337</v>
      </c>
      <c r="I366">
        <v>71759</v>
      </c>
      <c r="J366">
        <v>66602</v>
      </c>
      <c r="K366">
        <v>-735</v>
      </c>
      <c r="L366">
        <v>-1.1000000000000001</v>
      </c>
      <c r="M366" t="b">
        <v>0</v>
      </c>
      <c r="N366" t="s">
        <v>654</v>
      </c>
    </row>
    <row r="367" spans="1:14">
      <c r="A367" t="s">
        <v>650</v>
      </c>
      <c r="B367">
        <v>366</v>
      </c>
      <c r="C367" t="s">
        <v>655</v>
      </c>
      <c r="D367">
        <v>3318</v>
      </c>
      <c r="E367">
        <v>3333</v>
      </c>
      <c r="F367">
        <v>38272</v>
      </c>
      <c r="G367">
        <v>41485</v>
      </c>
      <c r="I367">
        <v>47037</v>
      </c>
      <c r="J367">
        <v>44554</v>
      </c>
      <c r="K367">
        <v>3069</v>
      </c>
      <c r="L367">
        <v>7.4</v>
      </c>
      <c r="M367" t="b">
        <v>0</v>
      </c>
      <c r="N367" t="s">
        <v>656</v>
      </c>
    </row>
    <row r="368" spans="1:14">
      <c r="A368" t="s">
        <v>650</v>
      </c>
      <c r="B368">
        <v>367</v>
      </c>
      <c r="C368" t="s">
        <v>657</v>
      </c>
      <c r="D368">
        <v>3334</v>
      </c>
      <c r="E368">
        <v>3350</v>
      </c>
      <c r="F368">
        <v>877</v>
      </c>
      <c r="G368">
        <v>2000</v>
      </c>
      <c r="H368">
        <v>2000</v>
      </c>
      <c r="I368">
        <v>3000</v>
      </c>
      <c r="J368">
        <v>3000</v>
      </c>
      <c r="K368">
        <v>1000</v>
      </c>
      <c r="L368">
        <v>50</v>
      </c>
      <c r="M368" t="b">
        <v>0</v>
      </c>
      <c r="N368" t="s">
        <v>658</v>
      </c>
    </row>
    <row r="369" spans="1:14">
      <c r="A369" t="s">
        <v>650</v>
      </c>
      <c r="B369">
        <v>368</v>
      </c>
      <c r="C369" t="s">
        <v>659</v>
      </c>
      <c r="D369">
        <v>3351</v>
      </c>
      <c r="E369">
        <v>3364</v>
      </c>
      <c r="F369">
        <v>10070</v>
      </c>
      <c r="G369">
        <v>9861</v>
      </c>
      <c r="H369">
        <v>143</v>
      </c>
      <c r="I369">
        <v>12580</v>
      </c>
      <c r="J369">
        <v>12285</v>
      </c>
      <c r="K369">
        <v>2424</v>
      </c>
      <c r="L369">
        <v>24.6</v>
      </c>
      <c r="M369" t="b">
        <v>0</v>
      </c>
      <c r="N369" t="s">
        <v>660</v>
      </c>
    </row>
    <row r="370" spans="1:14">
      <c r="A370" t="s">
        <v>661</v>
      </c>
      <c r="B370">
        <v>369</v>
      </c>
      <c r="C370" t="s">
        <v>662</v>
      </c>
      <c r="D370">
        <v>3365</v>
      </c>
      <c r="E370">
        <v>3382</v>
      </c>
      <c r="F370">
        <v>8435</v>
      </c>
      <c r="G370">
        <v>8046</v>
      </c>
      <c r="H370">
        <v>8046</v>
      </c>
      <c r="I370">
        <v>20517</v>
      </c>
      <c r="J370">
        <v>20771</v>
      </c>
      <c r="K370">
        <v>12725</v>
      </c>
      <c r="L370">
        <v>158</v>
      </c>
      <c r="M370" t="b">
        <v>0</v>
      </c>
      <c r="N370" t="s">
        <v>663</v>
      </c>
    </row>
    <row r="371" spans="1:14">
      <c r="A371" t="s">
        <v>664</v>
      </c>
      <c r="B371">
        <v>370</v>
      </c>
      <c r="C371" t="s">
        <v>665</v>
      </c>
      <c r="D371">
        <v>3383</v>
      </c>
      <c r="E371">
        <v>3388</v>
      </c>
      <c r="F371">
        <v>7611</v>
      </c>
      <c r="G371">
        <v>12918</v>
      </c>
      <c r="H371">
        <v>12918</v>
      </c>
      <c r="I371">
        <v>16005</v>
      </c>
      <c r="J371">
        <v>16005</v>
      </c>
      <c r="K371">
        <v>3087</v>
      </c>
      <c r="L371">
        <v>23.9</v>
      </c>
      <c r="M371" t="b">
        <v>0</v>
      </c>
      <c r="N371" t="s">
        <v>666</v>
      </c>
    </row>
    <row r="372" spans="1:14">
      <c r="A372" t="s">
        <v>667</v>
      </c>
      <c r="B372">
        <v>371</v>
      </c>
      <c r="C372" t="s">
        <v>668</v>
      </c>
      <c r="D372">
        <v>3389</v>
      </c>
      <c r="E372">
        <v>3393</v>
      </c>
      <c r="H372">
        <v>3300</v>
      </c>
      <c r="I372">
        <v>13500</v>
      </c>
      <c r="J372">
        <v>13500</v>
      </c>
      <c r="K372">
        <v>10200</v>
      </c>
      <c r="M372" t="b">
        <v>1</v>
      </c>
      <c r="N372" t="e">
        <f>- (AI 모델을 활용한 항체 바이오베터 개발 및 실증) AI 설계 기반 기술을 활용하여 항 체 후보물질 대규모 병렬 생성 및 비임상 개발 가속화를 통해 항체 바이오베터 임상 촉진</f>
        <v>#NAME?</v>
      </c>
    </row>
    <row r="373" spans="1:14">
      <c r="A373" t="s">
        <v>667</v>
      </c>
      <c r="B373">
        <v>372</v>
      </c>
      <c r="C373" t="s">
        <v>669</v>
      </c>
      <c r="D373">
        <v>3394</v>
      </c>
      <c r="E373">
        <v>3398</v>
      </c>
      <c r="J373">
        <v>3200</v>
      </c>
      <c r="K373">
        <v>3200</v>
      </c>
      <c r="M373" t="b">
        <v>1</v>
      </c>
      <c r="N373" t="e">
        <f ca="1">- (AI기반 수술로봇 이노베이션랩 구축 및 활용 사업) AI기반 수술로봇 기술 고도화를 위한 수요 처 중심(의료기관) 임상의-로봇기업-의료기기기업 간 상시 협력연구 인프라 조성 및 활용 지원</f>
        <v>#NAME?</v>
      </c>
    </row>
    <row r="374" spans="1:14">
      <c r="A374" t="s">
        <v>667</v>
      </c>
      <c r="B374">
        <v>373</v>
      </c>
      <c r="C374" t="s">
        <v>670</v>
      </c>
      <c r="D374">
        <v>3399</v>
      </c>
      <c r="E374">
        <v>3404</v>
      </c>
      <c r="J374">
        <v>20000</v>
      </c>
      <c r="K374">
        <v>13000</v>
      </c>
      <c r="M374" t="b">
        <v>1</v>
      </c>
      <c r="N374" t="s">
        <v>671</v>
      </c>
    </row>
    <row r="375" spans="1:14">
      <c r="A375" t="s">
        <v>667</v>
      </c>
      <c r="B375">
        <v>374</v>
      </c>
      <c r="C375" t="s">
        <v>672</v>
      </c>
      <c r="D375">
        <v>3405</v>
      </c>
      <c r="E375">
        <v>3410</v>
      </c>
      <c r="I375">
        <v>30000</v>
      </c>
      <c r="J375">
        <v>20000</v>
      </c>
      <c r="K375">
        <v>20000</v>
      </c>
      <c r="M375" t="b">
        <v>1</v>
      </c>
      <c r="N375" t="s">
        <v>673</v>
      </c>
    </row>
    <row r="376" spans="1:14">
      <c r="A376" t="s">
        <v>667</v>
      </c>
      <c r="B376">
        <v>375</v>
      </c>
      <c r="C376" t="s">
        <v>674</v>
      </c>
      <c r="D376">
        <v>3411</v>
      </c>
      <c r="E376">
        <v>3416</v>
      </c>
      <c r="H376">
        <v>2184</v>
      </c>
      <c r="I376">
        <v>8736</v>
      </c>
      <c r="J376">
        <v>8736</v>
      </c>
      <c r="K376">
        <v>8736</v>
      </c>
      <c r="M376" t="b">
        <v>1</v>
      </c>
      <c r="N376" t="s">
        <v>675</v>
      </c>
    </row>
    <row r="377" spans="1:14">
      <c r="A377" t="s">
        <v>667</v>
      </c>
      <c r="B377">
        <v>376</v>
      </c>
      <c r="C377" t="s">
        <v>676</v>
      </c>
      <c r="D377">
        <v>3417</v>
      </c>
      <c r="E377">
        <v>3420</v>
      </c>
      <c r="I377">
        <v>2400</v>
      </c>
      <c r="J377">
        <v>2400</v>
      </c>
      <c r="K377">
        <v>2400</v>
      </c>
      <c r="M377" t="b">
        <v>1</v>
      </c>
      <c r="N377" t="s">
        <v>677</v>
      </c>
    </row>
    <row r="378" spans="1:14">
      <c r="A378" t="s">
        <v>667</v>
      </c>
      <c r="B378">
        <v>377</v>
      </c>
      <c r="C378" t="s">
        <v>678</v>
      </c>
      <c r="D378">
        <v>3421</v>
      </c>
      <c r="E378">
        <v>3428</v>
      </c>
      <c r="F378">
        <v>17052</v>
      </c>
      <c r="G378">
        <v>33397</v>
      </c>
      <c r="H378">
        <v>33397</v>
      </c>
      <c r="I378">
        <v>52123</v>
      </c>
      <c r="J378">
        <v>52123</v>
      </c>
      <c r="K378">
        <v>18726</v>
      </c>
      <c r="M378" t="b">
        <v>0</v>
      </c>
      <c r="N378" t="s">
        <v>679</v>
      </c>
    </row>
    <row r="379" spans="1:14">
      <c r="A379" t="s">
        <v>667</v>
      </c>
      <c r="B379">
        <v>378</v>
      </c>
      <c r="C379" t="s">
        <v>680</v>
      </c>
      <c r="D379">
        <v>3429</v>
      </c>
      <c r="E379">
        <v>3435</v>
      </c>
      <c r="G379">
        <v>6750</v>
      </c>
      <c r="H379">
        <v>6750</v>
      </c>
      <c r="I379">
        <v>9000</v>
      </c>
      <c r="J379">
        <v>9000</v>
      </c>
      <c r="K379">
        <v>2250</v>
      </c>
      <c r="M379" t="b">
        <v>0</v>
      </c>
      <c r="N379" t="s">
        <v>681</v>
      </c>
    </row>
    <row r="380" spans="1:14">
      <c r="A380" t="s">
        <v>667</v>
      </c>
      <c r="B380">
        <v>379</v>
      </c>
      <c r="C380" t="s">
        <v>682</v>
      </c>
      <c r="D380">
        <v>3436</v>
      </c>
      <c r="E380">
        <v>3465</v>
      </c>
      <c r="F380">
        <v>67720</v>
      </c>
      <c r="G380">
        <v>68500</v>
      </c>
      <c r="H380">
        <v>71582</v>
      </c>
      <c r="I380">
        <v>241435</v>
      </c>
      <c r="J380">
        <v>233770</v>
      </c>
      <c r="K380">
        <v>162188</v>
      </c>
      <c r="M380" t="b">
        <v>0</v>
      </c>
      <c r="N380" t="s">
        <v>683</v>
      </c>
    </row>
    <row r="381" spans="1:14">
      <c r="A381" t="s">
        <v>667</v>
      </c>
      <c r="B381">
        <v>380</v>
      </c>
      <c r="C381" t="s">
        <v>684</v>
      </c>
      <c r="D381">
        <v>3466</v>
      </c>
      <c r="E381">
        <v>3471</v>
      </c>
      <c r="G381">
        <v>7900</v>
      </c>
      <c r="H381">
        <v>7900</v>
      </c>
      <c r="I381">
        <v>9360</v>
      </c>
      <c r="J381">
        <v>9360</v>
      </c>
      <c r="K381">
        <v>1460</v>
      </c>
      <c r="M381" t="b">
        <v>0</v>
      </c>
      <c r="N381" t="s">
        <v>685</v>
      </c>
    </row>
    <row r="382" spans="1:14">
      <c r="A382" t="s">
        <v>667</v>
      </c>
      <c r="B382">
        <v>381</v>
      </c>
      <c r="C382" t="s">
        <v>686</v>
      </c>
      <c r="D382">
        <v>3472</v>
      </c>
      <c r="E382">
        <v>3479</v>
      </c>
      <c r="G382">
        <v>5700</v>
      </c>
      <c r="H382">
        <v>5700</v>
      </c>
      <c r="I382">
        <v>7600</v>
      </c>
      <c r="J382">
        <v>7600</v>
      </c>
      <c r="K382">
        <v>1900</v>
      </c>
      <c r="M382" t="b">
        <v>0</v>
      </c>
      <c r="N382" t="s">
        <v>687</v>
      </c>
    </row>
    <row r="383" spans="1:14">
      <c r="A383" t="s">
        <v>667</v>
      </c>
      <c r="B383">
        <v>382</v>
      </c>
      <c r="C383" t="s">
        <v>688</v>
      </c>
      <c r="D383">
        <v>3480</v>
      </c>
      <c r="E383">
        <v>3487</v>
      </c>
      <c r="F383">
        <v>4450</v>
      </c>
      <c r="G383">
        <v>3978</v>
      </c>
      <c r="H383">
        <v>3978</v>
      </c>
      <c r="I383">
        <v>15040</v>
      </c>
      <c r="J383">
        <v>15040</v>
      </c>
      <c r="K383">
        <v>11062</v>
      </c>
      <c r="M383" t="b">
        <v>0</v>
      </c>
      <c r="N383" t="s">
        <v>689</v>
      </c>
    </row>
    <row r="384" spans="1:14">
      <c r="A384" t="s">
        <v>667</v>
      </c>
      <c r="B384">
        <v>383</v>
      </c>
      <c r="C384" t="s">
        <v>690</v>
      </c>
      <c r="D384">
        <v>3488</v>
      </c>
      <c r="E384">
        <v>3494</v>
      </c>
      <c r="F384">
        <v>3600</v>
      </c>
      <c r="G384">
        <v>4800</v>
      </c>
      <c r="H384">
        <v>4800</v>
      </c>
      <c r="I384">
        <v>4800</v>
      </c>
      <c r="J384">
        <v>4800</v>
      </c>
      <c r="M384" t="b">
        <v>0</v>
      </c>
      <c r="N384" t="e">
        <f>- (응급실 특화 AI 기반 임상지원시스템 개발) 응급실 업무 프로세스 효율화 및 병원 내 응급환자 사망률 감소, 응급의료정보 교류 활성화를 위한 의료 인공지능 기술 개발</f>
        <v>#NAME?</v>
      </c>
    </row>
    <row r="385" spans="1:14">
      <c r="A385" t="s">
        <v>667</v>
      </c>
      <c r="B385">
        <v>384</v>
      </c>
      <c r="C385" t="s">
        <v>691</v>
      </c>
      <c r="D385">
        <v>3495</v>
      </c>
      <c r="E385">
        <v>3500</v>
      </c>
      <c r="G385">
        <v>4500</v>
      </c>
      <c r="H385">
        <v>4500</v>
      </c>
      <c r="I385">
        <v>6000</v>
      </c>
      <c r="J385">
        <v>6000</v>
      </c>
      <c r="K385">
        <v>1500</v>
      </c>
      <c r="M385" t="b">
        <v>0</v>
      </c>
      <c r="N385" t="s">
        <v>692</v>
      </c>
    </row>
    <row r="386" spans="1:14">
      <c r="A386" t="s">
        <v>667</v>
      </c>
      <c r="B386">
        <v>385</v>
      </c>
      <c r="C386" t="s">
        <v>693</v>
      </c>
      <c r="D386">
        <v>3501</v>
      </c>
      <c r="E386">
        <v>3508</v>
      </c>
      <c r="F386">
        <v>9418</v>
      </c>
      <c r="G386">
        <v>9418</v>
      </c>
      <c r="H386">
        <v>11852</v>
      </c>
      <c r="I386">
        <v>19963</v>
      </c>
      <c r="J386">
        <v>19963</v>
      </c>
      <c r="K386">
        <v>8111</v>
      </c>
      <c r="M386" t="b">
        <v>0</v>
      </c>
      <c r="N386" t="s">
        <v>694</v>
      </c>
    </row>
    <row r="387" spans="1:14">
      <c r="A387" t="s">
        <v>667</v>
      </c>
      <c r="B387">
        <v>386</v>
      </c>
      <c r="C387" t="s">
        <v>301</v>
      </c>
      <c r="D387">
        <v>3509</v>
      </c>
      <c r="E387">
        <v>3514</v>
      </c>
      <c r="J387">
        <v>5120</v>
      </c>
      <c r="K387">
        <v>5120</v>
      </c>
      <c r="M387" t="b">
        <v>1</v>
      </c>
      <c r="N387" t="s">
        <v>695</v>
      </c>
    </row>
    <row r="388" spans="1:14">
      <c r="A388" t="s">
        <v>667</v>
      </c>
      <c r="B388">
        <v>387</v>
      </c>
      <c r="C388" t="s">
        <v>325</v>
      </c>
      <c r="D388">
        <v>3515</v>
      </c>
      <c r="E388">
        <v>3520</v>
      </c>
      <c r="I388">
        <v>1650</v>
      </c>
      <c r="J388">
        <v>1650</v>
      </c>
      <c r="K388">
        <v>1650</v>
      </c>
      <c r="M388" t="b">
        <v>1</v>
      </c>
      <c r="N388" t="s">
        <v>696</v>
      </c>
    </row>
    <row r="389" spans="1:14">
      <c r="A389" t="s">
        <v>667</v>
      </c>
      <c r="B389">
        <v>388</v>
      </c>
      <c r="C389" t="s">
        <v>697</v>
      </c>
      <c r="D389">
        <v>3521</v>
      </c>
      <c r="E389">
        <v>3526</v>
      </c>
      <c r="G389">
        <v>2625</v>
      </c>
      <c r="H389">
        <v>2625</v>
      </c>
      <c r="I389">
        <v>3150</v>
      </c>
      <c r="J389">
        <v>3150</v>
      </c>
      <c r="K389">
        <v>525</v>
      </c>
      <c r="M389" t="b">
        <v>0</v>
      </c>
      <c r="N389" t="s">
        <v>698</v>
      </c>
    </row>
    <row r="390" spans="1:14">
      <c r="A390" t="s">
        <v>667</v>
      </c>
      <c r="B390">
        <v>389</v>
      </c>
      <c r="C390" t="s">
        <v>699</v>
      </c>
      <c r="D390">
        <v>3527</v>
      </c>
      <c r="E390">
        <v>3531</v>
      </c>
      <c r="F390">
        <v>6110</v>
      </c>
      <c r="G390">
        <v>6667</v>
      </c>
      <c r="H390">
        <v>6667</v>
      </c>
      <c r="I390">
        <v>6667</v>
      </c>
      <c r="J390">
        <v>6667</v>
      </c>
      <c r="M390" t="b">
        <v>0</v>
      </c>
      <c r="N390" t="s">
        <v>700</v>
      </c>
    </row>
    <row r="391" spans="1:14">
      <c r="A391" t="s">
        <v>667</v>
      </c>
      <c r="B391">
        <v>390</v>
      </c>
      <c r="C391" t="s">
        <v>701</v>
      </c>
      <c r="D391">
        <v>3532</v>
      </c>
      <c r="E391">
        <v>3541</v>
      </c>
      <c r="F391">
        <v>4625</v>
      </c>
      <c r="G391">
        <v>4165</v>
      </c>
      <c r="H391">
        <v>4165</v>
      </c>
      <c r="I391">
        <v>3802</v>
      </c>
      <c r="J391">
        <v>3802</v>
      </c>
      <c r="K391">
        <v>-363</v>
      </c>
      <c r="M391" t="b">
        <v>0</v>
      </c>
      <c r="N391" t="s">
        <v>702</v>
      </c>
    </row>
    <row r="392" spans="1:14">
      <c r="A392" t="s">
        <v>703</v>
      </c>
      <c r="B392">
        <v>391</v>
      </c>
      <c r="C392" t="s">
        <v>704</v>
      </c>
      <c r="D392">
        <v>3542</v>
      </c>
      <c r="E392">
        <v>3548</v>
      </c>
      <c r="I392">
        <v>3947</v>
      </c>
      <c r="J392">
        <v>2500</v>
      </c>
      <c r="K392">
        <v>2500</v>
      </c>
      <c r="M392" t="b">
        <v>1</v>
      </c>
      <c r="N392" t="s">
        <v>705</v>
      </c>
    </row>
    <row r="393" spans="1:14">
      <c r="A393" t="s">
        <v>703</v>
      </c>
      <c r="B393">
        <v>392</v>
      </c>
      <c r="C393" t="s">
        <v>706</v>
      </c>
      <c r="D393">
        <v>3549</v>
      </c>
      <c r="E393">
        <v>3556</v>
      </c>
      <c r="F393">
        <v>2000</v>
      </c>
      <c r="G393">
        <v>2667</v>
      </c>
      <c r="H393">
        <v>2667</v>
      </c>
      <c r="I393">
        <v>4500</v>
      </c>
      <c r="J393">
        <v>4500</v>
      </c>
      <c r="K393">
        <v>1833</v>
      </c>
      <c r="L393">
        <v>68.7</v>
      </c>
      <c r="M393" t="b">
        <v>0</v>
      </c>
      <c r="N393" t="s">
        <v>707</v>
      </c>
    </row>
    <row r="394" spans="1:14">
      <c r="A394" t="s">
        <v>703</v>
      </c>
      <c r="B394">
        <v>393</v>
      </c>
      <c r="C394" t="s">
        <v>708</v>
      </c>
      <c r="D394">
        <v>3557</v>
      </c>
      <c r="E394">
        <v>3566</v>
      </c>
      <c r="H394">
        <v>11657</v>
      </c>
      <c r="I394">
        <v>19316</v>
      </c>
      <c r="J394">
        <v>19316</v>
      </c>
      <c r="K394">
        <v>19316</v>
      </c>
      <c r="M394" t="b">
        <v>1</v>
      </c>
      <c r="N394" t="s">
        <v>709</v>
      </c>
    </row>
    <row r="395" spans="1:14">
      <c r="A395" t="s">
        <v>703</v>
      </c>
      <c r="B395">
        <v>394</v>
      </c>
      <c r="C395" t="s">
        <v>710</v>
      </c>
      <c r="D395">
        <v>3567</v>
      </c>
      <c r="E395">
        <v>3573</v>
      </c>
      <c r="G395">
        <v>1649</v>
      </c>
      <c r="H395">
        <v>1649</v>
      </c>
      <c r="I395">
        <v>2198</v>
      </c>
      <c r="J395">
        <v>2198</v>
      </c>
      <c r="K395">
        <v>549</v>
      </c>
      <c r="L395">
        <v>33.299999999999997</v>
      </c>
      <c r="M395" t="b">
        <v>0</v>
      </c>
      <c r="N395" t="s">
        <v>711</v>
      </c>
    </row>
    <row r="396" spans="1:14">
      <c r="A396" t="s">
        <v>703</v>
      </c>
      <c r="B396">
        <v>395</v>
      </c>
      <c r="C396" t="s">
        <v>712</v>
      </c>
      <c r="D396">
        <v>3574</v>
      </c>
      <c r="E396">
        <v>3591</v>
      </c>
      <c r="F396">
        <v>40890</v>
      </c>
      <c r="G396">
        <v>42368</v>
      </c>
      <c r="H396">
        <v>42368</v>
      </c>
      <c r="I396">
        <v>51508</v>
      </c>
      <c r="J396">
        <v>52124</v>
      </c>
      <c r="K396">
        <v>9756</v>
      </c>
      <c r="L396">
        <v>23</v>
      </c>
      <c r="M396" t="b">
        <v>0</v>
      </c>
      <c r="N396" t="s">
        <v>713</v>
      </c>
    </row>
    <row r="397" spans="1:14">
      <c r="A397" t="s">
        <v>703</v>
      </c>
      <c r="B397">
        <v>396</v>
      </c>
      <c r="C397" t="s">
        <v>714</v>
      </c>
      <c r="D397">
        <v>3592</v>
      </c>
      <c r="E397">
        <v>3598</v>
      </c>
      <c r="I397">
        <v>5747</v>
      </c>
      <c r="J397">
        <v>5747</v>
      </c>
      <c r="K397">
        <v>5747</v>
      </c>
      <c r="M397" t="b">
        <v>1</v>
      </c>
      <c r="N397" t="s">
        <v>715</v>
      </c>
    </row>
    <row r="398" spans="1:14">
      <c r="A398" t="s">
        <v>703</v>
      </c>
      <c r="B398">
        <v>397</v>
      </c>
      <c r="C398" t="s">
        <v>716</v>
      </c>
      <c r="D398">
        <v>3599</v>
      </c>
      <c r="E398">
        <v>3634</v>
      </c>
      <c r="F398">
        <v>53086</v>
      </c>
      <c r="G398">
        <v>57869</v>
      </c>
      <c r="H398">
        <v>101499</v>
      </c>
      <c r="I398">
        <v>78250</v>
      </c>
      <c r="J398">
        <v>85377</v>
      </c>
      <c r="K398">
        <v>27508</v>
      </c>
      <c r="L398">
        <v>47.5</v>
      </c>
      <c r="M398" t="b">
        <v>0</v>
      </c>
      <c r="N398" t="s">
        <v>717</v>
      </c>
    </row>
    <row r="399" spans="1:14">
      <c r="A399" t="s">
        <v>703</v>
      </c>
      <c r="B399">
        <v>398</v>
      </c>
      <c r="C399" t="s">
        <v>718</v>
      </c>
      <c r="D399">
        <v>3635</v>
      </c>
      <c r="E399">
        <v>3642</v>
      </c>
      <c r="G399">
        <v>4445</v>
      </c>
      <c r="H399">
        <v>4445</v>
      </c>
      <c r="I399">
        <v>5926</v>
      </c>
      <c r="J399">
        <v>5926</v>
      </c>
      <c r="K399">
        <v>1481</v>
      </c>
      <c r="L399">
        <v>33.299999999999997</v>
      </c>
      <c r="M399" t="b">
        <v>0</v>
      </c>
      <c r="N399" t="s">
        <v>719</v>
      </c>
    </row>
    <row r="400" spans="1:14">
      <c r="A400" t="s">
        <v>703</v>
      </c>
      <c r="B400">
        <v>399</v>
      </c>
      <c r="C400" t="s">
        <v>720</v>
      </c>
      <c r="D400">
        <v>3643</v>
      </c>
      <c r="E400">
        <v>3652</v>
      </c>
      <c r="F400">
        <v>939</v>
      </c>
      <c r="G400">
        <v>947</v>
      </c>
      <c r="H400">
        <v>947</v>
      </c>
      <c r="I400">
        <v>3865</v>
      </c>
      <c r="J400">
        <v>3865</v>
      </c>
      <c r="K400">
        <v>2918</v>
      </c>
      <c r="L400">
        <v>308.10000000000002</v>
      </c>
      <c r="M400" t="b">
        <v>0</v>
      </c>
      <c r="N400" t="s">
        <v>721</v>
      </c>
    </row>
    <row r="401" spans="1:14">
      <c r="A401" t="s">
        <v>703</v>
      </c>
      <c r="B401">
        <v>400</v>
      </c>
      <c r="C401" t="s">
        <v>722</v>
      </c>
      <c r="D401">
        <v>3653</v>
      </c>
      <c r="E401">
        <v>3660</v>
      </c>
      <c r="G401">
        <v>1000</v>
      </c>
      <c r="H401">
        <v>1000</v>
      </c>
      <c r="I401">
        <v>2727</v>
      </c>
      <c r="J401">
        <v>2727</v>
      </c>
      <c r="K401">
        <v>1727</v>
      </c>
      <c r="L401">
        <v>172.7</v>
      </c>
      <c r="M401" t="b">
        <v>0</v>
      </c>
      <c r="N401" t="s">
        <v>723</v>
      </c>
    </row>
    <row r="402" spans="1:14">
      <c r="A402" t="s">
        <v>724</v>
      </c>
      <c r="B402">
        <v>401</v>
      </c>
      <c r="C402" t="s">
        <v>725</v>
      </c>
      <c r="D402">
        <v>3661</v>
      </c>
      <c r="E402">
        <v>3677</v>
      </c>
      <c r="H402">
        <v>2200</v>
      </c>
      <c r="I402">
        <v>8800</v>
      </c>
      <c r="J402">
        <v>8800</v>
      </c>
      <c r="K402">
        <v>8800</v>
      </c>
      <c r="M402" t="b">
        <v>1</v>
      </c>
      <c r="N402" t="s">
        <v>726</v>
      </c>
    </row>
    <row r="403" spans="1:14">
      <c r="A403" t="s">
        <v>724</v>
      </c>
      <c r="B403">
        <v>402</v>
      </c>
      <c r="C403" t="s">
        <v>727</v>
      </c>
      <c r="D403">
        <v>3678</v>
      </c>
      <c r="E403">
        <v>3687</v>
      </c>
      <c r="I403">
        <v>157500</v>
      </c>
      <c r="J403">
        <v>130000</v>
      </c>
      <c r="K403">
        <v>130000</v>
      </c>
      <c r="M403" t="b">
        <v>1</v>
      </c>
      <c r="N403" t="s">
        <v>728</v>
      </c>
    </row>
    <row r="404" spans="1:14">
      <c r="A404" t="s">
        <v>724</v>
      </c>
      <c r="B404">
        <v>403</v>
      </c>
      <c r="C404" t="s">
        <v>729</v>
      </c>
      <c r="D404">
        <v>3688</v>
      </c>
      <c r="E404">
        <v>3702</v>
      </c>
      <c r="G404">
        <v>9200</v>
      </c>
      <c r="H404">
        <v>9200</v>
      </c>
      <c r="I404">
        <v>10000</v>
      </c>
      <c r="J404">
        <v>7500</v>
      </c>
      <c r="K404">
        <v>-1700</v>
      </c>
      <c r="L404">
        <v>-18.5</v>
      </c>
      <c r="M404" t="b">
        <v>0</v>
      </c>
      <c r="N404" t="s">
        <v>730</v>
      </c>
    </row>
    <row r="405" spans="1:14">
      <c r="A405" t="s">
        <v>724</v>
      </c>
      <c r="B405">
        <v>404</v>
      </c>
      <c r="C405" t="s">
        <v>131</v>
      </c>
      <c r="D405">
        <v>3703</v>
      </c>
      <c r="E405">
        <v>3719</v>
      </c>
      <c r="I405">
        <v>31400</v>
      </c>
      <c r="J405">
        <v>2110</v>
      </c>
      <c r="K405">
        <v>2110</v>
      </c>
      <c r="M405" t="b">
        <v>1</v>
      </c>
      <c r="N405" t="s">
        <v>731</v>
      </c>
    </row>
    <row r="406" spans="1:14">
      <c r="A406" t="s">
        <v>724</v>
      </c>
      <c r="B406">
        <v>405</v>
      </c>
      <c r="C406" t="s">
        <v>732</v>
      </c>
      <c r="D406">
        <v>3720</v>
      </c>
      <c r="E406">
        <v>3728</v>
      </c>
      <c r="I406">
        <v>185060</v>
      </c>
      <c r="J406">
        <v>166554</v>
      </c>
      <c r="K406">
        <v>166554</v>
      </c>
      <c r="M406" t="b">
        <v>1</v>
      </c>
      <c r="N406" t="s">
        <v>733</v>
      </c>
    </row>
    <row r="407" spans="1:14">
      <c r="A407" t="s">
        <v>724</v>
      </c>
      <c r="B407">
        <v>406</v>
      </c>
      <c r="C407" t="s">
        <v>734</v>
      </c>
      <c r="D407">
        <v>3729</v>
      </c>
      <c r="E407">
        <v>3737</v>
      </c>
      <c r="I407">
        <v>5000</v>
      </c>
      <c r="J407">
        <v>5000</v>
      </c>
      <c r="K407">
        <v>5000</v>
      </c>
      <c r="M407" t="b">
        <v>1</v>
      </c>
      <c r="N407" t="s">
        <v>735</v>
      </c>
    </row>
    <row r="408" spans="1:14">
      <c r="A408" t="s">
        <v>724</v>
      </c>
      <c r="B408">
        <v>407</v>
      </c>
      <c r="C408" t="s">
        <v>736</v>
      </c>
      <c r="D408">
        <v>3738</v>
      </c>
      <c r="E408">
        <v>3750</v>
      </c>
      <c r="G408">
        <v>2250</v>
      </c>
      <c r="I408">
        <v>3000</v>
      </c>
      <c r="J408">
        <v>3000</v>
      </c>
      <c r="K408">
        <v>750</v>
      </c>
      <c r="L408">
        <v>33.299999999999997</v>
      </c>
      <c r="M408" t="b">
        <v>0</v>
      </c>
      <c r="N408" t="s">
        <v>737</v>
      </c>
    </row>
    <row r="409" spans="1:14">
      <c r="A409" t="s">
        <v>724</v>
      </c>
      <c r="B409">
        <v>408</v>
      </c>
      <c r="C409" t="s">
        <v>141</v>
      </c>
      <c r="D409">
        <v>3751</v>
      </c>
      <c r="E409">
        <v>3759</v>
      </c>
      <c r="F409">
        <v>18360</v>
      </c>
      <c r="G409">
        <v>17900</v>
      </c>
      <c r="H409">
        <v>17900</v>
      </c>
      <c r="I409">
        <v>7800</v>
      </c>
      <c r="J409">
        <v>7800</v>
      </c>
      <c r="K409">
        <v>-10100</v>
      </c>
      <c r="L409">
        <v>-56.4</v>
      </c>
      <c r="M409" t="b">
        <v>0</v>
      </c>
      <c r="N409" t="e">
        <f ca="1">- (PIM인공지능반도체핵심기술개발) DRAM 제조 공정 기술 고도화, PIM*용 차세대 비휘발성 메모리(MRAM, PRAM) 제어 기술 및 공정·소재·장비 상용화 기술 개발을 통한 PIM용 메모리 기술 고도화 * Processing-In-Memory(PIM) : 프로세서의연산기능일부를메모리에담당하게하여 연산의병목현상을개선</f>
        <v>#NAME?</v>
      </c>
    </row>
    <row r="410" spans="1:14">
      <c r="A410" t="s">
        <v>724</v>
      </c>
      <c r="B410">
        <v>409</v>
      </c>
      <c r="C410" t="s">
        <v>738</v>
      </c>
      <c r="D410">
        <v>3760</v>
      </c>
      <c r="E410">
        <v>3773</v>
      </c>
      <c r="G410">
        <v>4250</v>
      </c>
      <c r="H410">
        <v>4250</v>
      </c>
      <c r="I410">
        <v>6188</v>
      </c>
      <c r="J410">
        <v>6188</v>
      </c>
      <c r="K410">
        <v>1938</v>
      </c>
      <c r="L410">
        <v>45.6</v>
      </c>
      <c r="M410" t="b">
        <v>0</v>
      </c>
      <c r="N410" t="s">
        <v>739</v>
      </c>
    </row>
    <row r="411" spans="1:14">
      <c r="A411" t="s">
        <v>724</v>
      </c>
      <c r="B411">
        <v>410</v>
      </c>
      <c r="C411" t="s">
        <v>740</v>
      </c>
      <c r="D411">
        <v>3774</v>
      </c>
      <c r="E411">
        <v>3787</v>
      </c>
      <c r="I411">
        <v>4000</v>
      </c>
      <c r="J411">
        <v>4000</v>
      </c>
      <c r="K411">
        <v>4000</v>
      </c>
      <c r="M411" t="b">
        <v>1</v>
      </c>
      <c r="N411" t="e">
        <f ca="1">- 가전산업 분야의 AI 핵심 모듈기술 개발을 통해 가전산업 AX 전환 및 융복합 기술 개발을 통한 미래 신산업 육성 - 국산 AI반도체를 적용한 개방형 온디바이스 AI통합시스템(HW, SW, 가전용AI모델) 개발 및 세계최고 수준의 AI가전 제품화 기술 확보 * 국내 가전기업의 AI제품 기술경쟁력 강화 및 국산 AI반도체의 대형수요시장(가전) 개화 촉진</f>
        <v>#NAME?</v>
      </c>
    </row>
    <row r="412" spans="1:14">
      <c r="A412" t="s">
        <v>724</v>
      </c>
      <c r="B412">
        <v>411</v>
      </c>
      <c r="C412" t="s">
        <v>741</v>
      </c>
      <c r="D412">
        <v>3788</v>
      </c>
      <c r="E412">
        <v>3801</v>
      </c>
      <c r="F412">
        <v>5600</v>
      </c>
      <c r="G412">
        <v>38131</v>
      </c>
      <c r="H412">
        <v>38131</v>
      </c>
      <c r="I412">
        <v>57655</v>
      </c>
      <c r="J412">
        <v>57655</v>
      </c>
      <c r="K412">
        <v>19524</v>
      </c>
      <c r="L412">
        <v>51.2</v>
      </c>
      <c r="M412" t="b">
        <v>0</v>
      </c>
      <c r="N412" t="s">
        <v>742</v>
      </c>
    </row>
    <row r="413" spans="1:14">
      <c r="A413" t="s">
        <v>724</v>
      </c>
      <c r="B413">
        <v>412</v>
      </c>
      <c r="C413" t="s">
        <v>743</v>
      </c>
      <c r="D413">
        <v>3802</v>
      </c>
      <c r="E413">
        <v>3813</v>
      </c>
      <c r="F413">
        <v>10777</v>
      </c>
      <c r="G413">
        <v>21107</v>
      </c>
      <c r="H413">
        <v>21107</v>
      </c>
      <c r="I413">
        <v>16622</v>
      </c>
      <c r="J413">
        <v>16622</v>
      </c>
      <c r="K413">
        <v>-4485</v>
      </c>
      <c r="L413">
        <v>-21.2</v>
      </c>
      <c r="M413" t="b">
        <v>0</v>
      </c>
      <c r="N413" t="s">
        <v>744</v>
      </c>
    </row>
    <row r="414" spans="1:14">
      <c r="A414" t="s">
        <v>724</v>
      </c>
      <c r="B414">
        <v>413</v>
      </c>
      <c r="C414" t="s">
        <v>745</v>
      </c>
      <c r="D414">
        <v>3814</v>
      </c>
      <c r="E414">
        <v>3856</v>
      </c>
      <c r="F414">
        <v>158854</v>
      </c>
      <c r="G414">
        <v>158244</v>
      </c>
      <c r="H414">
        <v>158244</v>
      </c>
      <c r="I414">
        <v>219989</v>
      </c>
      <c r="J414">
        <v>219989</v>
      </c>
      <c r="K414">
        <v>61745</v>
      </c>
      <c r="M414" t="b">
        <v>0</v>
      </c>
      <c r="N414" t="s">
        <v>746</v>
      </c>
    </row>
    <row r="415" spans="1:14">
      <c r="A415" t="s">
        <v>724</v>
      </c>
      <c r="B415">
        <v>414</v>
      </c>
      <c r="C415" t="s">
        <v>747</v>
      </c>
      <c r="D415">
        <v>3857</v>
      </c>
      <c r="E415">
        <v>3870</v>
      </c>
      <c r="F415">
        <v>320892</v>
      </c>
      <c r="G415">
        <v>329290</v>
      </c>
      <c r="H415">
        <v>334606</v>
      </c>
      <c r="I415">
        <v>340129</v>
      </c>
      <c r="J415">
        <v>341429</v>
      </c>
      <c r="K415">
        <v>12139</v>
      </c>
      <c r="L415">
        <v>3.7</v>
      </c>
      <c r="M415" t="b">
        <v>0</v>
      </c>
      <c r="N415" t="s">
        <v>748</v>
      </c>
    </row>
    <row r="416" spans="1:14">
      <c r="A416" t="s">
        <v>724</v>
      </c>
      <c r="B416">
        <v>415</v>
      </c>
      <c r="C416" t="s">
        <v>749</v>
      </c>
      <c r="D416">
        <v>3871</v>
      </c>
      <c r="E416">
        <v>3893</v>
      </c>
      <c r="F416">
        <v>117442</v>
      </c>
      <c r="G416">
        <v>148612</v>
      </c>
      <c r="H416">
        <v>148612</v>
      </c>
      <c r="I416">
        <v>193709</v>
      </c>
      <c r="J416">
        <v>173529</v>
      </c>
      <c r="K416">
        <v>24917</v>
      </c>
      <c r="L416">
        <v>16.8</v>
      </c>
      <c r="M416" t="b">
        <v>0</v>
      </c>
      <c r="N416" t="s">
        <v>750</v>
      </c>
    </row>
    <row r="417" spans="1:14">
      <c r="A417" t="s">
        <v>724</v>
      </c>
      <c r="B417">
        <v>416</v>
      </c>
      <c r="C417" t="s">
        <v>751</v>
      </c>
      <c r="D417">
        <v>3894</v>
      </c>
      <c r="E417">
        <v>3906</v>
      </c>
      <c r="F417">
        <v>4500</v>
      </c>
      <c r="G417">
        <v>5400</v>
      </c>
      <c r="I417">
        <v>5900</v>
      </c>
      <c r="J417">
        <v>5900</v>
      </c>
      <c r="K417">
        <v>500</v>
      </c>
      <c r="L417">
        <v>9.1999999999999993</v>
      </c>
      <c r="M417" t="b">
        <v>0</v>
      </c>
      <c r="N417" t="s">
        <v>752</v>
      </c>
    </row>
    <row r="418" spans="1:14">
      <c r="A418" t="s">
        <v>724</v>
      </c>
      <c r="B418">
        <v>417</v>
      </c>
      <c r="C418" t="s">
        <v>753</v>
      </c>
      <c r="D418">
        <v>3907</v>
      </c>
      <c r="E418">
        <v>3916</v>
      </c>
      <c r="I418">
        <v>2280</v>
      </c>
      <c r="J418">
        <v>2280</v>
      </c>
      <c r="K418">
        <v>2280</v>
      </c>
      <c r="M418" t="b">
        <v>1</v>
      </c>
      <c r="N418" t="s">
        <v>754</v>
      </c>
    </row>
    <row r="419" spans="1:14">
      <c r="A419" t="s">
        <v>724</v>
      </c>
      <c r="B419">
        <v>418</v>
      </c>
      <c r="C419" t="s">
        <v>755</v>
      </c>
      <c r="D419">
        <v>3917</v>
      </c>
      <c r="E419">
        <v>3925</v>
      </c>
      <c r="F419">
        <v>11974</v>
      </c>
      <c r="G419">
        <v>16529</v>
      </c>
      <c r="H419">
        <v>16529</v>
      </c>
      <c r="I419">
        <v>17332</v>
      </c>
      <c r="J419">
        <v>17332</v>
      </c>
      <c r="K419">
        <v>803</v>
      </c>
      <c r="L419">
        <v>4.8</v>
      </c>
      <c r="M419" t="b">
        <v>0</v>
      </c>
      <c r="N419" t="s">
        <v>756</v>
      </c>
    </row>
    <row r="420" spans="1:14">
      <c r="A420" t="s">
        <v>724</v>
      </c>
      <c r="B420">
        <v>419</v>
      </c>
      <c r="C420" t="s">
        <v>757</v>
      </c>
      <c r="D420">
        <v>3926</v>
      </c>
      <c r="E420">
        <v>3939</v>
      </c>
      <c r="F420">
        <v>7055</v>
      </c>
      <c r="G420">
        <v>18403</v>
      </c>
      <c r="H420">
        <v>18403</v>
      </c>
      <c r="I420">
        <v>21303</v>
      </c>
      <c r="J420">
        <v>18973</v>
      </c>
      <c r="K420">
        <v>570</v>
      </c>
      <c r="L420">
        <v>3.1</v>
      </c>
      <c r="M420" t="b">
        <v>0</v>
      </c>
      <c r="N420" t="s">
        <v>758</v>
      </c>
    </row>
    <row r="421" spans="1:14">
      <c r="A421" t="s">
        <v>724</v>
      </c>
      <c r="B421">
        <v>420</v>
      </c>
      <c r="C421" t="s">
        <v>759</v>
      </c>
      <c r="D421">
        <v>3940</v>
      </c>
      <c r="E421">
        <v>3963</v>
      </c>
      <c r="F421">
        <v>40574</v>
      </c>
      <c r="G421">
        <v>41661</v>
      </c>
      <c r="H421">
        <v>41661</v>
      </c>
      <c r="I421">
        <v>42747</v>
      </c>
      <c r="J421">
        <v>55627</v>
      </c>
      <c r="K421">
        <v>13966</v>
      </c>
      <c r="L421">
        <v>33.5</v>
      </c>
      <c r="M421" t="b">
        <v>0</v>
      </c>
      <c r="N421" t="s">
        <v>760</v>
      </c>
    </row>
    <row r="422" spans="1:14">
      <c r="A422" t="s">
        <v>724</v>
      </c>
      <c r="B422">
        <v>421</v>
      </c>
      <c r="C422" t="s">
        <v>761</v>
      </c>
      <c r="D422">
        <v>3964</v>
      </c>
      <c r="E422">
        <v>3974</v>
      </c>
      <c r="G422">
        <v>17800</v>
      </c>
      <c r="H422">
        <v>17800</v>
      </c>
      <c r="I422">
        <v>39188</v>
      </c>
      <c r="J422">
        <v>39188</v>
      </c>
      <c r="K422">
        <v>21388</v>
      </c>
      <c r="L422">
        <v>120.2</v>
      </c>
      <c r="M422" t="b">
        <v>0</v>
      </c>
      <c r="N422" t="s">
        <v>762</v>
      </c>
    </row>
    <row r="423" spans="1:14">
      <c r="A423" t="s">
        <v>724</v>
      </c>
      <c r="B423">
        <v>422</v>
      </c>
      <c r="C423" t="s">
        <v>763</v>
      </c>
      <c r="D423">
        <v>3975</v>
      </c>
      <c r="E423">
        <v>4000</v>
      </c>
      <c r="F423">
        <v>432</v>
      </c>
      <c r="G423">
        <v>750</v>
      </c>
      <c r="H423">
        <v>750</v>
      </c>
      <c r="I423">
        <v>1000</v>
      </c>
      <c r="J423">
        <v>1000</v>
      </c>
      <c r="K423">
        <v>250</v>
      </c>
      <c r="L423">
        <v>33.299999999999997</v>
      </c>
      <c r="M423" t="b">
        <v>0</v>
      </c>
      <c r="N423" t="s">
        <v>764</v>
      </c>
    </row>
    <row r="424" spans="1:14">
      <c r="A424" t="s">
        <v>724</v>
      </c>
      <c r="B424">
        <v>423</v>
      </c>
      <c r="C424" t="s">
        <v>765</v>
      </c>
      <c r="D424">
        <v>4001</v>
      </c>
      <c r="E424">
        <v>4012</v>
      </c>
      <c r="F424">
        <v>13733</v>
      </c>
      <c r="G424">
        <v>11673</v>
      </c>
      <c r="I424">
        <v>9749</v>
      </c>
      <c r="J424">
        <v>9749</v>
      </c>
      <c r="K424">
        <v>-1924</v>
      </c>
      <c r="L424">
        <v>-16.5</v>
      </c>
      <c r="M424" t="b">
        <v>0</v>
      </c>
      <c r="N424" t="s">
        <v>766</v>
      </c>
    </row>
    <row r="425" spans="1:14">
      <c r="A425" t="s">
        <v>724</v>
      </c>
      <c r="B425">
        <v>424</v>
      </c>
      <c r="C425" t="s">
        <v>767</v>
      </c>
      <c r="D425">
        <v>4013</v>
      </c>
      <c r="E425">
        <v>4024</v>
      </c>
      <c r="I425">
        <v>6200</v>
      </c>
      <c r="J425">
        <v>6200</v>
      </c>
      <c r="K425">
        <v>6200</v>
      </c>
      <c r="M425" t="b">
        <v>1</v>
      </c>
      <c r="N425" t="s">
        <v>768</v>
      </c>
    </row>
    <row r="426" spans="1:14">
      <c r="A426" t="s">
        <v>724</v>
      </c>
      <c r="B426">
        <v>425</v>
      </c>
      <c r="C426" t="s">
        <v>769</v>
      </c>
      <c r="D426">
        <v>4025</v>
      </c>
      <c r="E426">
        <v>4033</v>
      </c>
      <c r="H426">
        <v>12800</v>
      </c>
      <c r="I426">
        <v>12800</v>
      </c>
      <c r="J426">
        <v>12800</v>
      </c>
      <c r="K426">
        <v>12800</v>
      </c>
      <c r="M426" t="b">
        <v>1</v>
      </c>
      <c r="N426" t="s">
        <v>770</v>
      </c>
    </row>
    <row r="427" spans="1:14">
      <c r="A427" t="s">
        <v>724</v>
      </c>
      <c r="B427">
        <v>426</v>
      </c>
      <c r="C427" t="s">
        <v>771</v>
      </c>
      <c r="D427">
        <v>4034</v>
      </c>
      <c r="E427">
        <v>4042</v>
      </c>
      <c r="G427">
        <v>3200</v>
      </c>
      <c r="I427">
        <v>6325</v>
      </c>
      <c r="J427">
        <v>6325</v>
      </c>
      <c r="K427">
        <v>3125</v>
      </c>
      <c r="L427">
        <v>97.7</v>
      </c>
      <c r="M427" t="b">
        <v>0</v>
      </c>
      <c r="N427" t="s">
        <v>772</v>
      </c>
    </row>
    <row r="428" spans="1:14">
      <c r="A428" t="s">
        <v>724</v>
      </c>
      <c r="B428">
        <v>427</v>
      </c>
      <c r="C428" t="s">
        <v>773</v>
      </c>
      <c r="D428">
        <v>4043</v>
      </c>
      <c r="E428">
        <v>4063</v>
      </c>
      <c r="F428">
        <v>165819</v>
      </c>
      <c r="G428">
        <v>208832</v>
      </c>
      <c r="H428">
        <v>209832</v>
      </c>
      <c r="I428">
        <v>230678</v>
      </c>
      <c r="J428">
        <v>232178</v>
      </c>
      <c r="K428">
        <v>23346</v>
      </c>
      <c r="L428">
        <v>11.2</v>
      </c>
      <c r="M428" t="b">
        <v>0</v>
      </c>
      <c r="N428" t="s">
        <v>774</v>
      </c>
    </row>
    <row r="429" spans="1:14">
      <c r="A429" t="s">
        <v>724</v>
      </c>
      <c r="B429">
        <v>428</v>
      </c>
      <c r="C429" t="s">
        <v>775</v>
      </c>
      <c r="D429">
        <v>4064</v>
      </c>
      <c r="E429">
        <v>4090</v>
      </c>
      <c r="F429">
        <v>397197</v>
      </c>
      <c r="G429">
        <v>331378</v>
      </c>
      <c r="H429">
        <v>387478</v>
      </c>
      <c r="I429">
        <v>407340</v>
      </c>
      <c r="J429">
        <v>409920</v>
      </c>
      <c r="K429">
        <v>78542</v>
      </c>
      <c r="L429">
        <v>23.7</v>
      </c>
      <c r="M429" t="b">
        <v>0</v>
      </c>
      <c r="N429" t="s">
        <v>776</v>
      </c>
    </row>
    <row r="430" spans="1:14">
      <c r="A430" t="s">
        <v>724</v>
      </c>
      <c r="B430">
        <v>429</v>
      </c>
      <c r="C430" t="s">
        <v>777</v>
      </c>
      <c r="D430">
        <v>4091</v>
      </c>
      <c r="E430">
        <v>4097</v>
      </c>
      <c r="I430">
        <v>15000</v>
      </c>
      <c r="J430">
        <v>15000</v>
      </c>
      <c r="K430">
        <v>15000</v>
      </c>
      <c r="M430" t="b">
        <v>1</v>
      </c>
      <c r="N430" t="e">
        <f>- (산업용무기·유기화합물제형물성예측AI파운데이션모델개발) 산업용 무기·유기 화합물 제형과 조성의 물성을 예측하는 AI 파운데이션 모델을 개발하고 관련 산업분야 활용·확산 - (빅데이터 확보) 혼합물의 물성 정보에 대한 해외 유수의 논문 출판사, 주요 연구소 등으로부터 데이터 구매 등을 통해 빅데이터 신속 확보하고 필요시 국내외 대학 연구소에서 실험 수행하여 실험데이터 확보 - (파운데이션 모델 학습) 빅데이터를 학습하여 유·무기 혼합물 물성을 정밀 예측하는 AI 파운데이션 모델 학습 - (산업별 실증) AI 파운데이션 모델을 바탕으로 반도체, 배터리 등 다양한 산업 분야에서 파인튜닝하여 특화 AI를 만들고 혼합물 개발 산업 실증</f>
        <v>#NAME?</v>
      </c>
    </row>
    <row r="431" spans="1:14">
      <c r="A431" t="s">
        <v>724</v>
      </c>
      <c r="B431">
        <v>430</v>
      </c>
      <c r="C431" t="s">
        <v>778</v>
      </c>
      <c r="D431">
        <v>4098</v>
      </c>
      <c r="E431">
        <v>4132</v>
      </c>
      <c r="F431">
        <v>190992</v>
      </c>
      <c r="G431">
        <v>240845</v>
      </c>
      <c r="H431">
        <v>240845</v>
      </c>
      <c r="I431">
        <v>258501</v>
      </c>
      <c r="J431">
        <v>268484</v>
      </c>
      <c r="K431">
        <v>27639</v>
      </c>
      <c r="L431">
        <v>11.5</v>
      </c>
      <c r="M431" t="b">
        <v>0</v>
      </c>
      <c r="N431" t="s">
        <v>779</v>
      </c>
    </row>
    <row r="432" spans="1:14">
      <c r="A432" t="s">
        <v>724</v>
      </c>
      <c r="B432">
        <v>431</v>
      </c>
      <c r="C432" t="s">
        <v>780</v>
      </c>
      <c r="D432">
        <v>4133</v>
      </c>
      <c r="E432">
        <v>4161</v>
      </c>
      <c r="F432">
        <v>157479</v>
      </c>
      <c r="G432">
        <v>166145</v>
      </c>
      <c r="H432">
        <v>166145</v>
      </c>
      <c r="I432">
        <v>201395</v>
      </c>
      <c r="J432">
        <v>201395</v>
      </c>
      <c r="K432">
        <v>35250</v>
      </c>
      <c r="L432">
        <v>21.2</v>
      </c>
      <c r="M432" t="b">
        <v>0</v>
      </c>
      <c r="N432" t="s">
        <v>781</v>
      </c>
    </row>
    <row r="433" spans="1:14">
      <c r="A433" t="s">
        <v>724</v>
      </c>
      <c r="B433">
        <v>432</v>
      </c>
      <c r="C433" t="s">
        <v>782</v>
      </c>
      <c r="D433">
        <v>4162</v>
      </c>
      <c r="E433">
        <v>4169</v>
      </c>
      <c r="I433">
        <v>6000</v>
      </c>
      <c r="J433">
        <v>6000</v>
      </c>
      <c r="K433">
        <v>6000</v>
      </c>
      <c r="M433" t="b">
        <v>1</v>
      </c>
      <c r="N433" t="s">
        <v>783</v>
      </c>
    </row>
    <row r="434" spans="1:14">
      <c r="A434" t="s">
        <v>724</v>
      </c>
      <c r="B434">
        <v>433</v>
      </c>
      <c r="C434" t="s">
        <v>784</v>
      </c>
      <c r="D434">
        <v>4170</v>
      </c>
      <c r="E434">
        <v>4182</v>
      </c>
      <c r="F434">
        <v>21193</v>
      </c>
      <c r="G434">
        <v>18490</v>
      </c>
      <c r="H434">
        <v>18490</v>
      </c>
      <c r="I434">
        <v>22008</v>
      </c>
      <c r="J434">
        <v>23408</v>
      </c>
      <c r="K434">
        <v>4918</v>
      </c>
      <c r="L434">
        <v>26.6</v>
      </c>
      <c r="M434" t="b">
        <v>0</v>
      </c>
      <c r="N434" t="e">
        <f>- (섬유패션산업활성화기반마련) 섬유패션 기업의 기술력 향상 및 패션산업 지식기반 구축, 섬유생산기업정보시스템 운영 등을 통한 섬유패션 산업육성 촉진 및 고부가 가치화 지원 - (섬유패션기술력향상 및 패션산업지식기반화구축) 섬유패션기업의 기획, 디자인, 생산, 마케팅 역량 강화 지원을 통해 해외 수출기반을 강화하고, 섬유패션분야 인력 양성, 일자리 창출 등을 지원 - (섬유생산기업정보시스템구축) 한-미 FTA 협정상의 對美수출 섬유 생산기업 정보 제출의무 이행 및 기업의 FTA 활용 증대를 위해 섬유생산정보시스템 구축‧운영</f>
        <v>#NAME?</v>
      </c>
    </row>
    <row r="435" spans="1:14">
      <c r="A435" t="s">
        <v>724</v>
      </c>
      <c r="B435">
        <v>434</v>
      </c>
      <c r="C435" t="s">
        <v>785</v>
      </c>
      <c r="D435">
        <v>4183</v>
      </c>
      <c r="E435">
        <v>4197</v>
      </c>
      <c r="I435">
        <v>6400</v>
      </c>
      <c r="J435">
        <v>6400</v>
      </c>
      <c r="K435">
        <v>6400</v>
      </c>
      <c r="M435" t="b">
        <v>1</v>
      </c>
      <c r="N435" t="s">
        <v>786</v>
      </c>
    </row>
    <row r="436" spans="1:14">
      <c r="A436" t="s">
        <v>724</v>
      </c>
      <c r="B436">
        <v>435</v>
      </c>
      <c r="C436" t="s">
        <v>787</v>
      </c>
      <c r="D436">
        <v>4198</v>
      </c>
      <c r="E436">
        <v>4219</v>
      </c>
      <c r="F436">
        <v>191400</v>
      </c>
      <c r="G436">
        <v>215061</v>
      </c>
      <c r="H436">
        <v>215061</v>
      </c>
      <c r="I436">
        <v>196457</v>
      </c>
      <c r="J436">
        <v>200457</v>
      </c>
      <c r="K436">
        <v>-14604</v>
      </c>
      <c r="M436" t="b">
        <v>0</v>
      </c>
      <c r="N436" t="s">
        <v>788</v>
      </c>
    </row>
    <row r="437" spans="1:14">
      <c r="A437" t="s">
        <v>724</v>
      </c>
      <c r="B437">
        <v>436</v>
      </c>
      <c r="C437" t="s">
        <v>789</v>
      </c>
      <c r="D437">
        <v>4220</v>
      </c>
      <c r="E437">
        <v>4227</v>
      </c>
      <c r="I437">
        <v>12000</v>
      </c>
      <c r="J437">
        <v>12000</v>
      </c>
      <c r="K437">
        <v>12000</v>
      </c>
      <c r="M437" t="b">
        <v>1</v>
      </c>
      <c r="N437" t="e">
        <f>- 산업단지 내 열 공정 중심 제조기업을 대상으로 AI 파운데이션 모델을 개발 및 실증· 확산을 지원함으로써, 제조업 디지털 전환 가속화 및 산업단지 혁신 생태계 조성 ⇒다양한 제조 업종의 열 관련 공정 특화 데이터를 기반으로 최적의 공정 조건을 도출하는 AI 파운데이션 모델 개발 및 산업단지 등 실증‧적용</f>
        <v>#NAME?</v>
      </c>
    </row>
    <row r="438" spans="1:14">
      <c r="A438" t="s">
        <v>724</v>
      </c>
      <c r="B438">
        <v>437</v>
      </c>
      <c r="C438" t="s">
        <v>790</v>
      </c>
      <c r="D438">
        <v>4228</v>
      </c>
      <c r="E438">
        <v>4243</v>
      </c>
      <c r="G438">
        <v>2800</v>
      </c>
      <c r="H438">
        <v>2800</v>
      </c>
      <c r="I438">
        <v>3750</v>
      </c>
      <c r="J438">
        <v>3750</v>
      </c>
      <c r="K438">
        <v>950</v>
      </c>
      <c r="L438">
        <v>33.9</v>
      </c>
      <c r="M438" t="b">
        <v>0</v>
      </c>
      <c r="N438" t="s">
        <v>791</v>
      </c>
    </row>
    <row r="439" spans="1:14">
      <c r="A439" t="s">
        <v>724</v>
      </c>
      <c r="B439">
        <v>438</v>
      </c>
      <c r="C439" t="s">
        <v>792</v>
      </c>
      <c r="D439">
        <v>4244</v>
      </c>
      <c r="E439">
        <v>4278</v>
      </c>
      <c r="F439">
        <v>348493</v>
      </c>
      <c r="G439">
        <v>390424</v>
      </c>
      <c r="H439">
        <v>390424</v>
      </c>
      <c r="I439">
        <v>337751</v>
      </c>
      <c r="J439">
        <v>339711</v>
      </c>
      <c r="K439">
        <v>-50713</v>
      </c>
      <c r="M439" t="b">
        <v>0</v>
      </c>
      <c r="N439" t="s">
        <v>793</v>
      </c>
    </row>
    <row r="440" spans="1:14">
      <c r="A440" t="s">
        <v>724</v>
      </c>
      <c r="B440">
        <v>439</v>
      </c>
      <c r="C440" t="s">
        <v>794</v>
      </c>
      <c r="D440">
        <v>4279</v>
      </c>
      <c r="E440">
        <v>4295</v>
      </c>
      <c r="I440">
        <v>4000</v>
      </c>
      <c r="J440">
        <v>4000</v>
      </c>
      <c r="K440">
        <v>4000</v>
      </c>
      <c r="M440" t="b">
        <v>1</v>
      </c>
      <c r="N440" t="s">
        <v>795</v>
      </c>
    </row>
    <row r="441" spans="1:14">
      <c r="A441" t="s">
        <v>724</v>
      </c>
      <c r="B441">
        <v>440</v>
      </c>
      <c r="C441" t="s">
        <v>796</v>
      </c>
      <c r="D441">
        <v>4296</v>
      </c>
      <c r="E441">
        <v>4305</v>
      </c>
      <c r="G441">
        <v>3150</v>
      </c>
      <c r="H441">
        <v>3150</v>
      </c>
      <c r="I441">
        <v>2520</v>
      </c>
      <c r="J441">
        <v>2520</v>
      </c>
      <c r="K441">
        <v>-630</v>
      </c>
      <c r="L441">
        <v>-20</v>
      </c>
      <c r="M441" t="b">
        <v>0</v>
      </c>
      <c r="N441" t="e">
        <f>- (자율형소프트로봇핵심기술국제공동연구) 자율로봇 부문 차세대 로봇 원천기술 확보를 위한 한미 공동연구 및 인력 양성 * 韓산업부-美국방부간자율로봇공동기초연구작업반운영을통한공동연구과제발굴및지원</f>
        <v>#NAME?</v>
      </c>
    </row>
    <row r="442" spans="1:14">
      <c r="A442" t="s">
        <v>724</v>
      </c>
      <c r="B442">
        <v>441</v>
      </c>
      <c r="C442" t="s">
        <v>797</v>
      </c>
      <c r="D442">
        <v>4306</v>
      </c>
      <c r="E442">
        <v>4313</v>
      </c>
      <c r="I442">
        <v>4000</v>
      </c>
      <c r="J442">
        <v>1000</v>
      </c>
      <c r="K442">
        <v>1000</v>
      </c>
      <c r="M442" t="b">
        <v>1</v>
      </c>
      <c r="N442" t="s">
        <v>798</v>
      </c>
    </row>
    <row r="443" spans="1:14">
      <c r="A443" t="s">
        <v>724</v>
      </c>
      <c r="B443">
        <v>442</v>
      </c>
      <c r="C443" t="s">
        <v>799</v>
      </c>
      <c r="D443">
        <v>4314</v>
      </c>
      <c r="E443">
        <v>4323</v>
      </c>
      <c r="G443">
        <v>3500</v>
      </c>
      <c r="I443">
        <v>7212</v>
      </c>
      <c r="J443">
        <v>7212</v>
      </c>
      <c r="K443">
        <v>3712</v>
      </c>
      <c r="L443">
        <v>106.1</v>
      </c>
      <c r="M443" t="b">
        <v>0</v>
      </c>
      <c r="N443" t="s">
        <v>800</v>
      </c>
    </row>
    <row r="444" spans="1:14">
      <c r="A444" t="s">
        <v>724</v>
      </c>
      <c r="B444">
        <v>443</v>
      </c>
      <c r="C444" t="s">
        <v>801</v>
      </c>
      <c r="D444">
        <v>4324</v>
      </c>
      <c r="E444">
        <v>4329</v>
      </c>
      <c r="F444">
        <v>1400</v>
      </c>
      <c r="G444">
        <v>5920</v>
      </c>
      <c r="H444">
        <v>5920</v>
      </c>
      <c r="I444">
        <v>7680</v>
      </c>
      <c r="J444">
        <v>7680</v>
      </c>
      <c r="K444">
        <v>1760</v>
      </c>
      <c r="L444">
        <v>29.7</v>
      </c>
      <c r="M444" t="b">
        <v>0</v>
      </c>
      <c r="N444" t="s">
        <v>802</v>
      </c>
    </row>
    <row r="445" spans="1:14">
      <c r="A445" t="s">
        <v>724</v>
      </c>
      <c r="B445">
        <v>444</v>
      </c>
      <c r="C445" t="s">
        <v>803</v>
      </c>
      <c r="D445">
        <v>4330</v>
      </c>
      <c r="E445">
        <v>4357</v>
      </c>
      <c r="F445">
        <v>77225</v>
      </c>
      <c r="G445">
        <v>119165</v>
      </c>
      <c r="H445">
        <v>119165</v>
      </c>
      <c r="I445">
        <v>178562</v>
      </c>
      <c r="J445">
        <v>194412</v>
      </c>
      <c r="K445">
        <v>75247</v>
      </c>
      <c r="L445">
        <v>63.1</v>
      </c>
      <c r="M445" t="b">
        <v>0</v>
      </c>
      <c r="N445" t="s">
        <v>804</v>
      </c>
    </row>
    <row r="446" spans="1:14">
      <c r="A446" t="s">
        <v>724</v>
      </c>
      <c r="B446">
        <v>445</v>
      </c>
      <c r="C446" t="s">
        <v>805</v>
      </c>
      <c r="D446">
        <v>4358</v>
      </c>
      <c r="E446">
        <v>4382</v>
      </c>
      <c r="F446">
        <v>24077</v>
      </c>
      <c r="G446">
        <v>13950</v>
      </c>
      <c r="H446">
        <v>13950</v>
      </c>
      <c r="I446">
        <v>21950</v>
      </c>
      <c r="J446">
        <v>12550</v>
      </c>
      <c r="K446">
        <v>-1400</v>
      </c>
      <c r="L446">
        <v>-10</v>
      </c>
      <c r="M446" t="b">
        <v>0</v>
      </c>
      <c r="N446" t="s">
        <v>806</v>
      </c>
    </row>
    <row r="447" spans="1:14">
      <c r="A447" t="s">
        <v>724</v>
      </c>
      <c r="B447">
        <v>446</v>
      </c>
      <c r="C447" t="s">
        <v>301</v>
      </c>
      <c r="D447">
        <v>4383</v>
      </c>
      <c r="E447">
        <v>4399</v>
      </c>
      <c r="I447">
        <v>20400</v>
      </c>
      <c r="J447">
        <v>6800</v>
      </c>
      <c r="K447">
        <v>6800</v>
      </c>
      <c r="M447" t="b">
        <v>1</v>
      </c>
      <c r="N447" t="s">
        <v>807</v>
      </c>
    </row>
    <row r="448" spans="1:14">
      <c r="A448" t="s">
        <v>724</v>
      </c>
      <c r="B448">
        <v>447</v>
      </c>
      <c r="C448" t="s">
        <v>808</v>
      </c>
      <c r="D448">
        <v>4400</v>
      </c>
      <c r="E448">
        <v>4412</v>
      </c>
      <c r="I448">
        <v>11000</v>
      </c>
      <c r="J448">
        <v>11000</v>
      </c>
      <c r="K448">
        <v>11000</v>
      </c>
      <c r="M448" t="b">
        <v>1</v>
      </c>
      <c r="N448" t="s">
        <v>809</v>
      </c>
    </row>
    <row r="449" spans="1:14">
      <c r="A449" t="s">
        <v>724</v>
      </c>
      <c r="B449">
        <v>448</v>
      </c>
      <c r="C449" t="s">
        <v>810</v>
      </c>
      <c r="D449">
        <v>4413</v>
      </c>
      <c r="E449">
        <v>4419</v>
      </c>
      <c r="I449">
        <v>2800</v>
      </c>
      <c r="J449">
        <v>2800</v>
      </c>
      <c r="K449">
        <v>2800</v>
      </c>
      <c r="M449" t="b">
        <v>1</v>
      </c>
      <c r="N449" t="s">
        <v>811</v>
      </c>
    </row>
    <row r="450" spans="1:14">
      <c r="A450" t="s">
        <v>724</v>
      </c>
      <c r="B450">
        <v>449</v>
      </c>
      <c r="C450" t="s">
        <v>812</v>
      </c>
      <c r="D450">
        <v>4420</v>
      </c>
      <c r="E450">
        <v>4427</v>
      </c>
      <c r="I450">
        <v>4000</v>
      </c>
      <c r="J450">
        <v>4000</v>
      </c>
      <c r="K450">
        <v>4000</v>
      </c>
      <c r="M450" t="b">
        <v>1</v>
      </c>
      <c r="N450" t="s">
        <v>813</v>
      </c>
    </row>
    <row r="451" spans="1:14">
      <c r="A451" t="s">
        <v>724</v>
      </c>
      <c r="B451">
        <v>450</v>
      </c>
      <c r="C451" t="s">
        <v>814</v>
      </c>
      <c r="D451">
        <v>4428</v>
      </c>
      <c r="E451">
        <v>4445</v>
      </c>
      <c r="F451">
        <v>4800</v>
      </c>
      <c r="G451">
        <v>4800</v>
      </c>
      <c r="I451">
        <v>10287</v>
      </c>
      <c r="J451">
        <v>10287</v>
      </c>
      <c r="K451">
        <v>5487</v>
      </c>
      <c r="L451">
        <v>114.3</v>
      </c>
      <c r="M451" t="b">
        <v>0</v>
      </c>
      <c r="N451" t="e">
        <f ca="1">- (첨단민군융합기술개발) 미래전장(戰場) 및 민간산업에서 활용 가능한 첨단장비의 제어기술 개발을 통한 수출 증대</f>
        <v>#NAME?</v>
      </c>
    </row>
    <row r="452" spans="1:14">
      <c r="A452" t="s">
        <v>724</v>
      </c>
      <c r="B452">
        <v>451</v>
      </c>
      <c r="C452" t="s">
        <v>815</v>
      </c>
      <c r="D452">
        <v>4446</v>
      </c>
      <c r="E452">
        <v>4453</v>
      </c>
      <c r="I452">
        <v>5250</v>
      </c>
      <c r="J452">
        <v>5250</v>
      </c>
      <c r="K452">
        <v>5250</v>
      </c>
      <c r="M452" t="b">
        <v>1</v>
      </c>
      <c r="N452" t="s">
        <v>816</v>
      </c>
    </row>
    <row r="453" spans="1:14">
      <c r="A453" t="s">
        <v>817</v>
      </c>
      <c r="B453">
        <v>452</v>
      </c>
      <c r="C453" t="s">
        <v>818</v>
      </c>
      <c r="D453">
        <v>4454</v>
      </c>
      <c r="E453">
        <v>4473</v>
      </c>
      <c r="F453">
        <v>1760</v>
      </c>
      <c r="G453">
        <v>1907</v>
      </c>
      <c r="H453">
        <v>1907</v>
      </c>
      <c r="J453">
        <v>1705</v>
      </c>
      <c r="K453">
        <v>-202</v>
      </c>
      <c r="L453">
        <v>-10.6</v>
      </c>
      <c r="M453" t="b">
        <v>0</v>
      </c>
      <c r="N453" t="s">
        <v>819</v>
      </c>
    </row>
    <row r="454" spans="1:14">
      <c r="A454" t="s">
        <v>817</v>
      </c>
      <c r="B454">
        <v>453</v>
      </c>
      <c r="C454" t="s">
        <v>820</v>
      </c>
      <c r="D454">
        <v>4474</v>
      </c>
      <c r="E454">
        <v>4491</v>
      </c>
      <c r="F454">
        <v>8703</v>
      </c>
      <c r="G454">
        <v>13337</v>
      </c>
      <c r="H454">
        <v>13337</v>
      </c>
      <c r="J454">
        <v>15310</v>
      </c>
      <c r="K454">
        <v>1973</v>
      </c>
      <c r="L454">
        <v>14.8</v>
      </c>
      <c r="M454" t="b">
        <v>0</v>
      </c>
      <c r="N454" t="s">
        <v>821</v>
      </c>
    </row>
    <row r="455" spans="1:14">
      <c r="A455" t="s">
        <v>817</v>
      </c>
      <c r="B455">
        <v>454</v>
      </c>
      <c r="C455" t="s">
        <v>822</v>
      </c>
      <c r="D455">
        <v>4492</v>
      </c>
      <c r="E455">
        <v>4499</v>
      </c>
      <c r="J455">
        <v>3500</v>
      </c>
      <c r="K455">
        <v>3500</v>
      </c>
      <c r="M455" t="b">
        <v>1</v>
      </c>
      <c r="N455" t="e">
        <f>- 국내 인화성·발화성 높은 위험물 화재 사고 예방 및 대응 기술 확보를 통한 국민 생명 보호 및 위험물 사고 피해 최소화</f>
        <v>#NAME?</v>
      </c>
    </row>
    <row r="456" spans="1:14">
      <c r="A456" t="s">
        <v>823</v>
      </c>
      <c r="B456">
        <v>455</v>
      </c>
      <c r="C456" t="s">
        <v>824</v>
      </c>
      <c r="D456">
        <v>4500</v>
      </c>
      <c r="E456">
        <v>4505</v>
      </c>
      <c r="I456">
        <v>5916</v>
      </c>
      <c r="J456">
        <v>5916</v>
      </c>
      <c r="K456">
        <v>5916</v>
      </c>
      <c r="M456" t="b">
        <v>1</v>
      </c>
      <c r="N456" t="s">
        <v>825</v>
      </c>
    </row>
    <row r="457" spans="1:14">
      <c r="A457" t="s">
        <v>823</v>
      </c>
      <c r="B457">
        <v>456</v>
      </c>
      <c r="C457" t="s">
        <v>826</v>
      </c>
      <c r="D457">
        <v>4506</v>
      </c>
      <c r="E457">
        <v>4511</v>
      </c>
      <c r="I457">
        <v>15000</v>
      </c>
      <c r="J457">
        <v>15000</v>
      </c>
      <c r="K457">
        <v>15000</v>
      </c>
      <c r="M457" t="b">
        <v>1</v>
      </c>
      <c r="N457" t="s">
        <v>827</v>
      </c>
    </row>
    <row r="458" spans="1:14">
      <c r="A458" t="s">
        <v>823</v>
      </c>
      <c r="B458">
        <v>457</v>
      </c>
      <c r="C458" t="s">
        <v>828</v>
      </c>
      <c r="D458">
        <v>4512</v>
      </c>
      <c r="E458">
        <v>4582</v>
      </c>
      <c r="F458">
        <v>14926</v>
      </c>
      <c r="G458">
        <v>12512</v>
      </c>
      <c r="H458">
        <v>13820</v>
      </c>
      <c r="I458">
        <v>17739</v>
      </c>
      <c r="J458">
        <v>17739</v>
      </c>
      <c r="K458">
        <v>5227</v>
      </c>
      <c r="L458">
        <v>41.8</v>
      </c>
      <c r="M458" t="b">
        <v>0</v>
      </c>
      <c r="N458" t="s">
        <v>829</v>
      </c>
    </row>
    <row r="459" spans="1:14">
      <c r="A459" t="s">
        <v>823</v>
      </c>
      <c r="B459">
        <v>458</v>
      </c>
      <c r="C459" t="s">
        <v>830</v>
      </c>
      <c r="D459">
        <v>4583</v>
      </c>
      <c r="E459">
        <v>4589</v>
      </c>
      <c r="F459">
        <v>1614</v>
      </c>
      <c r="G459">
        <v>2452</v>
      </c>
      <c r="H459">
        <v>2452</v>
      </c>
      <c r="I459">
        <v>2552</v>
      </c>
      <c r="J459">
        <v>2552</v>
      </c>
      <c r="K459">
        <v>100</v>
      </c>
      <c r="L459">
        <v>4.07</v>
      </c>
      <c r="M459" t="b">
        <v>0</v>
      </c>
      <c r="N459" t="e">
        <f ca="1">- (신기술 적용 식품(푸드테크) 안전기술 지원) 급성장하는 푸드테크 시장에 선제적 대응 및 산업발전을 위해 푸드테크 안전기술 개발･검증･지원체계 구축 - (대체식품의 소재생산 안전기술 개발) 동/식물성 단백질 소재의 가공 안전기술 개발 및 배양육 생산 안전기술 개발 등 신규 대체식품의 안전성 확인 및 평가기술을 개발 하는 것임 - (빅데이터·AI 기반 푸드테크 유통소비 안전기술 개발) 빅데이터·AI 기반의 DB 구축 및 유용성 검증 등을 통해 식품 안전성 판단 및 예측 기술을 개발하는 것임 - (신기술 적용 식품 안전기술 확산 및 적용 연구) 신기술 적용식품 안전기술의 민간 보급확산 및 적용 연구를 통해 안전한 제품 생산 지원 및 글로벌 규제 대응력을 강화하는 것임</f>
        <v>#NAME?</v>
      </c>
    </row>
    <row r="460" spans="1:14">
      <c r="A460" t="s">
        <v>823</v>
      </c>
      <c r="B460">
        <v>459</v>
      </c>
      <c r="C460" t="s">
        <v>831</v>
      </c>
      <c r="D460">
        <v>4590</v>
      </c>
      <c r="E460">
        <v>4594</v>
      </c>
      <c r="I460">
        <v>3755</v>
      </c>
      <c r="J460">
        <v>3755</v>
      </c>
      <c r="K460">
        <v>3755</v>
      </c>
      <c r="M460" t="b">
        <v>1</v>
      </c>
      <c r="N460" t="s">
        <v>832</v>
      </c>
    </row>
    <row r="461" spans="1:14">
      <c r="A461" t="s">
        <v>823</v>
      </c>
      <c r="B461">
        <v>460</v>
      </c>
      <c r="C461" t="s">
        <v>833</v>
      </c>
      <c r="D461">
        <v>4595</v>
      </c>
      <c r="E461">
        <v>4602</v>
      </c>
      <c r="F461">
        <v>3742</v>
      </c>
      <c r="G461">
        <v>6642</v>
      </c>
      <c r="H461">
        <v>6642</v>
      </c>
      <c r="I461">
        <v>7592</v>
      </c>
      <c r="J461">
        <v>7592</v>
      </c>
      <c r="K461">
        <v>950</v>
      </c>
      <c r="L461">
        <v>14.3</v>
      </c>
      <c r="M461" t="b">
        <v>0</v>
      </c>
      <c r="N461" t="s">
        <v>834</v>
      </c>
    </row>
    <row r="462" spans="1:14">
      <c r="A462" t="s">
        <v>835</v>
      </c>
      <c r="B462">
        <v>461</v>
      </c>
      <c r="C462" t="s">
        <v>836</v>
      </c>
      <c r="D462">
        <v>4603</v>
      </c>
      <c r="E462">
        <v>4612</v>
      </c>
      <c r="F462">
        <v>2569</v>
      </c>
      <c r="G462">
        <v>13254</v>
      </c>
      <c r="H462">
        <v>13254</v>
      </c>
      <c r="I462">
        <v>13962</v>
      </c>
      <c r="J462">
        <v>13962</v>
      </c>
      <c r="K462">
        <v>708</v>
      </c>
      <c r="M462" t="b">
        <v>0</v>
      </c>
      <c r="N462" t="s">
        <v>837</v>
      </c>
    </row>
    <row r="463" spans="1:14">
      <c r="A463" t="s">
        <v>838</v>
      </c>
      <c r="B463">
        <v>462</v>
      </c>
      <c r="C463" t="s">
        <v>839</v>
      </c>
      <c r="D463">
        <v>4613</v>
      </c>
      <c r="E463">
        <v>4624</v>
      </c>
      <c r="G463">
        <v>2000</v>
      </c>
      <c r="H463">
        <v>2000</v>
      </c>
      <c r="J463">
        <v>6883</v>
      </c>
      <c r="K463">
        <v>4883</v>
      </c>
      <c r="L463">
        <v>244.2</v>
      </c>
      <c r="M463" t="b">
        <v>0</v>
      </c>
      <c r="N463" t="s">
        <v>840</v>
      </c>
    </row>
    <row r="464" spans="1:14">
      <c r="A464" t="s">
        <v>838</v>
      </c>
      <c r="B464">
        <v>463</v>
      </c>
      <c r="C464" t="s">
        <v>841</v>
      </c>
      <c r="D464">
        <v>4625</v>
      </c>
      <c r="E464">
        <v>4640</v>
      </c>
      <c r="F464">
        <v>1046</v>
      </c>
      <c r="G464">
        <v>2331</v>
      </c>
      <c r="H464">
        <v>2331</v>
      </c>
      <c r="J464">
        <v>2583</v>
      </c>
      <c r="K464">
        <v>252</v>
      </c>
      <c r="L464">
        <v>10.8</v>
      </c>
      <c r="M464" t="b">
        <v>0</v>
      </c>
      <c r="N464" t="e">
        <f ca="1">- (우주전파재난 위험분석 및 대응기술 개발) 우주전파재난에 취약한 신산업 인프라 보호를 위해 빅데이터·인공지능 기술을 접목한 우주환경 예측·분석 기술 개발로우 주전파재난 예·경보 및 대응 역량 강화 - (인공지능(데이터) 기반 우주전파재난 예보체계 개발) 우주환경 관측데이터와 인공 지능·빅데이터 기술을 결합한 신규 예·경보 모델 개발 - (근지구 우주전파환경 예경보 체계 개발) 중·저궤도 위성 등 우주환경 변화에 따라 극심하게 변화하는 근지구 영역에서의 우주환경 분석·예측 기술 확보</f>
        <v>#NAME?</v>
      </c>
    </row>
    <row r="465" spans="1:14">
      <c r="A465" t="s">
        <v>838</v>
      </c>
      <c r="B465">
        <v>464</v>
      </c>
      <c r="C465" t="s">
        <v>842</v>
      </c>
      <c r="D465">
        <v>4641</v>
      </c>
      <c r="E465">
        <v>4655</v>
      </c>
      <c r="F465">
        <v>97523</v>
      </c>
      <c r="G465">
        <v>108886</v>
      </c>
      <c r="H465">
        <v>108886</v>
      </c>
      <c r="J465">
        <v>114726</v>
      </c>
      <c r="K465">
        <v>5840</v>
      </c>
      <c r="L465">
        <v>5.4</v>
      </c>
      <c r="M465" t="b">
        <v>0</v>
      </c>
      <c r="N465" t="s">
        <v>843</v>
      </c>
    </row>
    <row r="466" spans="1:14">
      <c r="A466" t="s">
        <v>838</v>
      </c>
      <c r="B466">
        <v>465</v>
      </c>
      <c r="C466" t="s">
        <v>844</v>
      </c>
      <c r="D466">
        <v>4656</v>
      </c>
      <c r="E466">
        <v>4665</v>
      </c>
      <c r="J466">
        <v>3000</v>
      </c>
      <c r="K466">
        <v>3000</v>
      </c>
      <c r="M466" t="b">
        <v>1</v>
      </c>
      <c r="N466" t="e">
        <f>- (항공AI 안전성 확보를 위한 자율임무 신뢰성 보증기술 개발) 인적 사고 방지 및 조종사 업무 경감을 위한 인간-AI 협업 자율임무 핵심 기술 및 항공기 적용 AI 안전성 증명을 위한 자율임무 보증 기술을 개발하고 비행실증을 통해 항공AI의 신뢰성을 확보</f>
        <v>#NAME?</v>
      </c>
    </row>
    <row r="467" spans="1:14">
      <c r="A467" t="s">
        <v>845</v>
      </c>
      <c r="B467">
        <v>466</v>
      </c>
      <c r="C467" t="s">
        <v>846</v>
      </c>
      <c r="D467">
        <v>4666</v>
      </c>
      <c r="E467">
        <v>4670</v>
      </c>
      <c r="F467">
        <v>1890</v>
      </c>
      <c r="G467">
        <v>1988</v>
      </c>
      <c r="H467">
        <v>1988</v>
      </c>
      <c r="I467">
        <v>1988</v>
      </c>
      <c r="J467">
        <v>1918</v>
      </c>
      <c r="K467">
        <v>-70</v>
      </c>
      <c r="L467">
        <v>-3.5</v>
      </c>
      <c r="M467" t="b">
        <v>0</v>
      </c>
      <c r="N467" t="e">
        <f>- 정부·민간의 다양한 학습 콘텐츠를 한곳에 모아 제공하고, AI·빅데이터 기반 개인별 맞춤형 학습을 추천하여 공무원의 역량 개발을 지원하는 정보시스템 운영 ①정부･민간의 다양한 학습 콘텐츠를 한 곳에 모아 제공 ②AI･빅데이터 기술을 적용하여 개인 맞춤형 학습 콘텐츠 추천 ③보안성, 교육 특화 기능을 갖춘 비대면 실시간 화상 교육 시스템 운영</f>
        <v>#NAME?</v>
      </c>
    </row>
    <row r="468" spans="1:14">
      <c r="A468" t="s">
        <v>845</v>
      </c>
      <c r="B468">
        <v>467</v>
      </c>
      <c r="C468" t="s">
        <v>847</v>
      </c>
      <c r="D468">
        <v>4671</v>
      </c>
      <c r="E468">
        <v>4677</v>
      </c>
      <c r="F468">
        <v>8394</v>
      </c>
      <c r="G468">
        <v>13284</v>
      </c>
      <c r="H468">
        <v>13284</v>
      </c>
      <c r="I468">
        <v>9344</v>
      </c>
      <c r="J468">
        <v>7487</v>
      </c>
      <c r="K468">
        <v>-5797</v>
      </c>
      <c r="L468">
        <v>-43.6</v>
      </c>
      <c r="M468" t="b">
        <v>0</v>
      </c>
      <c r="N468" t="s">
        <v>848</v>
      </c>
    </row>
    <row r="469" spans="1:14">
      <c r="A469" t="s">
        <v>849</v>
      </c>
      <c r="B469">
        <v>468</v>
      </c>
      <c r="C469" t="s">
        <v>850</v>
      </c>
      <c r="D469">
        <v>4678</v>
      </c>
      <c r="E469">
        <v>4699</v>
      </c>
      <c r="F469">
        <v>26298</v>
      </c>
      <c r="G469">
        <v>18592</v>
      </c>
      <c r="I469">
        <v>18928</v>
      </c>
      <c r="J469">
        <v>19859</v>
      </c>
      <c r="K469">
        <v>1267</v>
      </c>
      <c r="L469">
        <v>6.8</v>
      </c>
      <c r="M469" t="b">
        <v>0</v>
      </c>
      <c r="N469" t="s">
        <v>851</v>
      </c>
    </row>
    <row r="470" spans="1:14">
      <c r="A470" t="s">
        <v>852</v>
      </c>
      <c r="B470">
        <v>469</v>
      </c>
      <c r="C470" t="s">
        <v>853</v>
      </c>
      <c r="D470">
        <v>4700</v>
      </c>
      <c r="E470">
        <v>4714</v>
      </c>
      <c r="F470">
        <v>219054</v>
      </c>
      <c r="G470">
        <v>236076</v>
      </c>
      <c r="H470">
        <v>286923</v>
      </c>
      <c r="I470">
        <v>436556</v>
      </c>
      <c r="J470">
        <v>402056</v>
      </c>
      <c r="K470">
        <v>115133</v>
      </c>
      <c r="L470">
        <v>40.1</v>
      </c>
      <c r="M470" t="b">
        <v>0</v>
      </c>
      <c r="N470" t="s">
        <v>854</v>
      </c>
    </row>
    <row r="471" spans="1:14">
      <c r="A471" t="s">
        <v>852</v>
      </c>
      <c r="B471">
        <v>470</v>
      </c>
      <c r="C471" t="s">
        <v>855</v>
      </c>
      <c r="D471">
        <v>4715</v>
      </c>
      <c r="E471">
        <v>4721</v>
      </c>
      <c r="F471">
        <v>6900</v>
      </c>
      <c r="G471">
        <v>5836</v>
      </c>
      <c r="H471">
        <v>5836</v>
      </c>
      <c r="I471">
        <v>7400</v>
      </c>
      <c r="J471">
        <v>5922</v>
      </c>
      <c r="K471">
        <v>86</v>
      </c>
      <c r="L471">
        <v>1.5</v>
      </c>
      <c r="M471" t="b">
        <v>0</v>
      </c>
      <c r="N471" t="s">
        <v>856</v>
      </c>
    </row>
    <row r="472" spans="1:14">
      <c r="A472" t="s">
        <v>852</v>
      </c>
      <c r="B472">
        <v>471</v>
      </c>
      <c r="C472" t="s">
        <v>857</v>
      </c>
      <c r="D472">
        <v>4722</v>
      </c>
      <c r="E472">
        <v>4730</v>
      </c>
      <c r="F472">
        <v>43665</v>
      </c>
      <c r="G472">
        <v>51690</v>
      </c>
      <c r="H472">
        <v>51690</v>
      </c>
      <c r="I472">
        <v>23326</v>
      </c>
      <c r="J472">
        <v>23326</v>
      </c>
      <c r="K472">
        <v>-28364</v>
      </c>
      <c r="L472">
        <v>-54.9</v>
      </c>
      <c r="M472" t="b">
        <v>0</v>
      </c>
      <c r="N472" t="s">
        <v>858</v>
      </c>
    </row>
    <row r="473" spans="1:14">
      <c r="A473" t="s">
        <v>852</v>
      </c>
      <c r="B473">
        <v>472</v>
      </c>
      <c r="C473" t="s">
        <v>859</v>
      </c>
      <c r="D473">
        <v>4731</v>
      </c>
      <c r="E473">
        <v>4737</v>
      </c>
      <c r="F473">
        <v>1508327</v>
      </c>
      <c r="G473">
        <v>1311110</v>
      </c>
      <c r="H473">
        <v>1311110</v>
      </c>
      <c r="I473">
        <v>1111110</v>
      </c>
      <c r="J473">
        <v>1081110</v>
      </c>
      <c r="K473">
        <v>-230000</v>
      </c>
      <c r="L473">
        <v>-17.5</v>
      </c>
      <c r="M473" t="b">
        <v>0</v>
      </c>
      <c r="N473" t="s">
        <v>860</v>
      </c>
    </row>
    <row r="474" spans="1:14">
      <c r="A474" t="s">
        <v>852</v>
      </c>
      <c r="B474">
        <v>473</v>
      </c>
      <c r="C474" t="s">
        <v>861</v>
      </c>
      <c r="D474">
        <v>4738</v>
      </c>
      <c r="E474">
        <v>4750</v>
      </c>
      <c r="F474">
        <v>11559</v>
      </c>
      <c r="G474">
        <v>41549</v>
      </c>
      <c r="H474">
        <v>76549</v>
      </c>
      <c r="I474">
        <v>199714</v>
      </c>
      <c r="J474">
        <v>120731</v>
      </c>
      <c r="K474">
        <v>44182</v>
      </c>
      <c r="L474">
        <v>57.7</v>
      </c>
      <c r="M474" t="b">
        <v>0</v>
      </c>
      <c r="N474" t="e">
        <f>- (사업전환촉진) 산업 구조전환 가속화로 경쟁력 약화 우려가 있는 중소기업을 대상 으로 사업전환을 통한 경쟁력 강화를 위해 진단, 계획수립 등 지원 및 미래 신성장 분야로의 중소기업 스케일업 등 도모 - (구조개선촉진) 성장잠재력이 있는중소기업이 위기를 극복하고 신속한 정상화를위해 민간은행 등과협업하여 자금지원, 경영개선계획 수립 등 선제적 구조개선을 지원 - (성실경영평가제도 운영) 재창업 기업의 성실경영평가를 효과적으로 수행·관리하기 위한 전담기관 운영으로 원활한 재기지원 환경 조성 - (지역 주도형 AI 대전환) AI 등 신산업 분야의 발전과 경영 변화의 선제적 지원을 통해 중소기업의 생산성 향상 및 경쟁력 제고</f>
        <v>#NAME?</v>
      </c>
    </row>
    <row r="475" spans="1:14">
      <c r="A475" t="s">
        <v>852</v>
      </c>
      <c r="B475">
        <v>474</v>
      </c>
      <c r="C475" t="s">
        <v>862</v>
      </c>
      <c r="D475">
        <v>4751</v>
      </c>
      <c r="E475">
        <v>4756</v>
      </c>
      <c r="F475">
        <v>10888</v>
      </c>
      <c r="G475">
        <v>10888</v>
      </c>
      <c r="H475">
        <v>10888</v>
      </c>
      <c r="I475">
        <v>32588</v>
      </c>
      <c r="J475">
        <v>10888</v>
      </c>
      <c r="M475" t="b">
        <v>0</v>
      </c>
      <c r="N475" t="e">
        <f>- 서비스의 스마트화·혁신을 위해 서비스업 중소기업을 대상으로 빅데이터·AI 등 첨단 ICT활용 솔루션 구축을 지원</f>
        <v>#NAME?</v>
      </c>
    </row>
    <row r="476" spans="1:14">
      <c r="A476" t="s">
        <v>852</v>
      </c>
      <c r="B476">
        <v>475</v>
      </c>
      <c r="C476" t="s">
        <v>863</v>
      </c>
      <c r="D476">
        <v>4757</v>
      </c>
      <c r="E476">
        <v>4762</v>
      </c>
      <c r="F476">
        <v>450000</v>
      </c>
      <c r="G476">
        <v>500000</v>
      </c>
      <c r="H476">
        <v>800000</v>
      </c>
      <c r="I476">
        <v>1100000</v>
      </c>
      <c r="J476">
        <v>820000</v>
      </c>
      <c r="K476">
        <v>20000</v>
      </c>
      <c r="L476">
        <v>2.5</v>
      </c>
      <c r="M476" t="b">
        <v>0</v>
      </c>
      <c r="N476" t="s">
        <v>864</v>
      </c>
    </row>
    <row r="477" spans="1:14">
      <c r="A477" t="s">
        <v>852</v>
      </c>
      <c r="B477">
        <v>476</v>
      </c>
      <c r="C477" t="s">
        <v>865</v>
      </c>
      <c r="D477">
        <v>4763</v>
      </c>
      <c r="E477">
        <v>4769</v>
      </c>
      <c r="F477">
        <v>6909</v>
      </c>
      <c r="G477">
        <v>11156</v>
      </c>
      <c r="H477">
        <v>11156</v>
      </c>
      <c r="I477">
        <v>14147</v>
      </c>
      <c r="J477">
        <v>13944</v>
      </c>
      <c r="K477">
        <v>2788</v>
      </c>
      <c r="L477">
        <v>25</v>
      </c>
      <c r="M477" t="b">
        <v>0</v>
      </c>
      <c r="N477" t="e">
        <f>- (대민정보시스템 통합운영체계구축) 중소벤처·소상공인이 중기부에서 제공하는 정책 서비스를 한 곳에서 편리하게 사용할 수 있도록 대민정보통합시스템 구축 - (사이버안전센터 운영) 부 및 소속·산하기관에 대한 보안관제와 정보보호 활동을 통해 외부 사이버위협으로부터 중요 정보자원을 보호 - (행정정보시스템 운영) 업무포탈, 누리집 등 기관 내·외부 업무시스템의 기능개선으 로시스템의 안정적 운영과 효율적인 행정업무수행을 지원</f>
        <v>#NAME?</v>
      </c>
    </row>
    <row r="478" spans="1:14">
      <c r="A478" t="s">
        <v>852</v>
      </c>
      <c r="B478">
        <v>477</v>
      </c>
      <c r="C478" t="s">
        <v>866</v>
      </c>
      <c r="D478">
        <v>4770</v>
      </c>
      <c r="E478">
        <v>4776</v>
      </c>
      <c r="I478">
        <v>3600</v>
      </c>
      <c r="J478">
        <v>3600</v>
      </c>
      <c r="K478">
        <v>3600</v>
      </c>
      <c r="M478" t="b">
        <v>1</v>
      </c>
      <c r="N478" t="s">
        <v>867</v>
      </c>
    </row>
    <row r="479" spans="1:14">
      <c r="A479" t="s">
        <v>852</v>
      </c>
      <c r="B479">
        <v>478</v>
      </c>
      <c r="C479" t="s">
        <v>868</v>
      </c>
      <c r="D479">
        <v>4777</v>
      </c>
      <c r="E479">
        <v>4782</v>
      </c>
      <c r="F479">
        <v>2000</v>
      </c>
      <c r="G479">
        <v>6000</v>
      </c>
      <c r="H479">
        <v>6000</v>
      </c>
      <c r="I479">
        <v>40000</v>
      </c>
      <c r="J479">
        <v>6000</v>
      </c>
      <c r="M479" t="b">
        <v>0</v>
      </c>
      <c r="N479" t="e">
        <f ca="1">- AI 분석 전문가, 솔루션 공급기업, 지역연구기관 등이 참여하는 지역별 ‘제조AI센터’를 통한 중소기업 재도약 지원체계 지원 ※ 지역공모, 센터당3년간국비60억원(연간20억원) 지원</f>
        <v>#NAME?</v>
      </c>
    </row>
    <row r="480" spans="1:14">
      <c r="A480" t="s">
        <v>852</v>
      </c>
      <c r="B480">
        <v>479</v>
      </c>
      <c r="C480" t="s">
        <v>869</v>
      </c>
      <c r="D480">
        <v>4783</v>
      </c>
      <c r="E480">
        <v>4792</v>
      </c>
      <c r="F480">
        <v>359131</v>
      </c>
      <c r="G480">
        <v>403567</v>
      </c>
      <c r="H480">
        <v>457567</v>
      </c>
      <c r="I480">
        <v>491667</v>
      </c>
      <c r="J480">
        <v>461838</v>
      </c>
      <c r="K480">
        <v>4271</v>
      </c>
      <c r="L480">
        <v>0.9</v>
      </c>
      <c r="M480" t="b">
        <v>0</v>
      </c>
      <c r="N480" t="s">
        <v>870</v>
      </c>
    </row>
    <row r="481" spans="1:14">
      <c r="A481" t="s">
        <v>852</v>
      </c>
      <c r="B481">
        <v>480</v>
      </c>
      <c r="C481" t="s">
        <v>871</v>
      </c>
      <c r="D481">
        <v>4793</v>
      </c>
      <c r="E481">
        <v>4799</v>
      </c>
      <c r="F481">
        <v>97368</v>
      </c>
      <c r="G481">
        <v>100031</v>
      </c>
      <c r="H481">
        <v>100031</v>
      </c>
      <c r="I481">
        <v>106431</v>
      </c>
      <c r="J481">
        <v>106431</v>
      </c>
      <c r="K481">
        <v>6400</v>
      </c>
      <c r="L481">
        <v>6.4</v>
      </c>
      <c r="M481" t="b">
        <v>0</v>
      </c>
      <c r="N481" t="e">
        <f>- (창업성공패키지) 유망 창업 아이템 및 혁신기술을 보유한 초기창업자를 발굴하고, 창업 全단계를 패키지 방식으로 일괄 지원하여 성공창업 기업 육성 - (스타트업 AI 기술인력 양성) 혁신 벤처스타트업이 필요로 하는 인공지능 청년인재· 해외 SW 실무인력 양성을 통해 스타트업의 일자리 미스매치 해소</f>
        <v>#NAME?</v>
      </c>
    </row>
    <row r="482" spans="1:14">
      <c r="A482" t="s">
        <v>852</v>
      </c>
      <c r="B482">
        <v>481</v>
      </c>
      <c r="C482" t="s">
        <v>872</v>
      </c>
      <c r="D482">
        <v>4800</v>
      </c>
      <c r="E482">
        <v>4805</v>
      </c>
      <c r="F482">
        <v>531683</v>
      </c>
      <c r="G482">
        <v>596010</v>
      </c>
      <c r="H482">
        <v>596010</v>
      </c>
      <c r="I482">
        <v>786419</v>
      </c>
      <c r="J482">
        <v>786419</v>
      </c>
      <c r="K482">
        <v>190409</v>
      </c>
      <c r="L482">
        <v>31.9</v>
      </c>
      <c r="M482" t="b">
        <v>0</v>
      </c>
      <c r="N482" t="s">
        <v>873</v>
      </c>
    </row>
    <row r="483" spans="1:14">
      <c r="A483" t="s">
        <v>852</v>
      </c>
      <c r="B483">
        <v>482</v>
      </c>
      <c r="C483" t="s">
        <v>874</v>
      </c>
      <c r="D483">
        <v>4806</v>
      </c>
      <c r="E483">
        <v>4812</v>
      </c>
      <c r="F483">
        <v>110933</v>
      </c>
      <c r="G483">
        <v>174810</v>
      </c>
      <c r="H483">
        <v>184810</v>
      </c>
      <c r="I483">
        <v>457041</v>
      </c>
      <c r="J483">
        <v>457041</v>
      </c>
      <c r="K483">
        <v>272231</v>
      </c>
      <c r="L483">
        <v>147</v>
      </c>
      <c r="M483" t="b">
        <v>0</v>
      </c>
      <c r="N483" t="s">
        <v>875</v>
      </c>
    </row>
    <row r="484" spans="1:14">
      <c r="A484" t="s">
        <v>852</v>
      </c>
      <c r="B484">
        <v>483</v>
      </c>
      <c r="C484" t="s">
        <v>876</v>
      </c>
      <c r="D484">
        <v>4813</v>
      </c>
      <c r="E484">
        <v>4818</v>
      </c>
      <c r="I484">
        <v>3000</v>
      </c>
      <c r="J484">
        <v>3000</v>
      </c>
      <c r="K484">
        <v>3000</v>
      </c>
      <c r="M484" t="b">
        <v>1</v>
      </c>
      <c r="N484" t="s">
        <v>877</v>
      </c>
    </row>
    <row r="485" spans="1:14">
      <c r="A485" t="s">
        <v>852</v>
      </c>
      <c r="B485">
        <v>484</v>
      </c>
      <c r="C485" t="s">
        <v>878</v>
      </c>
      <c r="D485">
        <v>4819</v>
      </c>
      <c r="E485">
        <v>4824</v>
      </c>
      <c r="F485">
        <v>2039970</v>
      </c>
      <c r="G485">
        <v>1635800</v>
      </c>
      <c r="H485">
        <v>1835800</v>
      </c>
      <c r="I485">
        <v>1635800</v>
      </c>
      <c r="J485">
        <v>1605800</v>
      </c>
      <c r="K485">
        <v>-230000</v>
      </c>
      <c r="L485">
        <v>-12.5</v>
      </c>
      <c r="M485" t="b">
        <v>0</v>
      </c>
      <c r="N485" t="e">
        <f>- (창업기반지원) 기술력과 사업성이 우수하고 미래 성장가능성이 높은 중소벤처기업의 창업을 활성화하고 고용창출 도모 - (개발기술사업화) 중소기업이 보유한 우수 기술의 사장을 방지하고 개발기술의 제품화·사업화를 촉진하여 기술기반 중소기업을 육성</f>
        <v>#NAME?</v>
      </c>
    </row>
    <row r="486" spans="1:14">
      <c r="A486" t="s">
        <v>879</v>
      </c>
      <c r="B486">
        <v>485</v>
      </c>
      <c r="C486" t="s">
        <v>880</v>
      </c>
      <c r="D486">
        <v>4825</v>
      </c>
      <c r="E486">
        <v>4851</v>
      </c>
      <c r="F486">
        <v>23495</v>
      </c>
      <c r="G486">
        <v>26853</v>
      </c>
      <c r="J486">
        <v>36698</v>
      </c>
      <c r="K486">
        <v>7845</v>
      </c>
      <c r="L486">
        <v>29.2</v>
      </c>
      <c r="M486" t="b">
        <v>0</v>
      </c>
      <c r="N486" t="e">
        <f ca="1">- (지식재산 활용(사업화, 거래, 평가) 지원) 대학·공공연 및 중소기업의 지식재산이 적극적으로 활용될 수 있도록 지식재산의 사업화, 거래 및 평가를 지원하고, 지식재산 활용 확산을 위한 인프라를 구축하며, 민관협력을 통한 IP전략지원 - (지식재산 사업화지원) 대학·공공연이 보유한 우수기술이 산업계로 이전되어 기술 경쟁력 강화에 기여할 수 있도록, IP 사업화 및 지식재산 수익 재투자 체계 구축을 지원 - (지식재산 거래지원) 개인·중소기업 등의 지식재산거래 시 전문적인 중개서비스 지원 및 거래역량 강화를 위한 민간거래기관 육성 - (지식재산 평가지원) 우수 IP를 보유한 중소·벤처 기업이 IP가치평가에 기반하여 담보대출·보증·투자 등을 통해 자금을 조달할 수 있도록 IP가치평가 비용을 지원하고, IP가치평가 결과에 대한 품질관리를 통해 IP가치평가 품질 및 신뢰성 제고 추진 - (민관협력 IP전략지원) 민관 공동으로 유망 IP스타트업을발굴하고 민간투자기관이 창업 기업의CIPO최고IP경영자로서 투자와 함께 IP 중심의 사업화 성장지원 - (모두의 아이디어 공모) 국민의 창의적인 아이디어가 산업혁신과 경제성장으로 이어질수 있도록 산업‧경제‧사회 전반의 문제해결을 위해 모든 국민의 창의적 아이디어를 공모하는 범국가 집단지성 플랫폼 구축</f>
        <v>#NAME?</v>
      </c>
    </row>
    <row r="487" spans="1:14">
      <c r="A487" t="s">
        <v>881</v>
      </c>
      <c r="B487">
        <v>486</v>
      </c>
      <c r="C487" t="s">
        <v>882</v>
      </c>
      <c r="D487">
        <v>4852</v>
      </c>
      <c r="E487">
        <v>4858</v>
      </c>
      <c r="J487">
        <v>2246</v>
      </c>
      <c r="K487">
        <v>1300</v>
      </c>
      <c r="M487" t="b">
        <v>1</v>
      </c>
      <c r="N487" t="s">
        <v>883</v>
      </c>
    </row>
    <row r="488" spans="1:14">
      <c r="A488" t="s">
        <v>881</v>
      </c>
      <c r="B488">
        <v>487</v>
      </c>
      <c r="C488" t="s">
        <v>884</v>
      </c>
      <c r="D488">
        <v>4859</v>
      </c>
      <c r="E488">
        <v>4869</v>
      </c>
      <c r="F488">
        <v>21755</v>
      </c>
      <c r="G488">
        <v>23934</v>
      </c>
      <c r="H488">
        <v>23934</v>
      </c>
      <c r="J488">
        <v>12135</v>
      </c>
      <c r="K488">
        <v>-11799</v>
      </c>
      <c r="M488" t="b">
        <v>0</v>
      </c>
      <c r="N488" t="s">
        <v>885</v>
      </c>
    </row>
    <row r="489" spans="1:14">
      <c r="A489" t="s">
        <v>881</v>
      </c>
      <c r="B489">
        <v>488</v>
      </c>
      <c r="C489" t="s">
        <v>886</v>
      </c>
      <c r="D489">
        <v>4870</v>
      </c>
      <c r="E489">
        <v>4880</v>
      </c>
      <c r="F489">
        <v>174.7</v>
      </c>
      <c r="G489">
        <v>1245</v>
      </c>
      <c r="H489">
        <v>1245</v>
      </c>
      <c r="J489">
        <v>19949</v>
      </c>
      <c r="K489">
        <v>18704</v>
      </c>
      <c r="M489" t="b">
        <v>0</v>
      </c>
      <c r="N489" t="s">
        <v>887</v>
      </c>
    </row>
    <row r="490" spans="1:14">
      <c r="A490" t="s">
        <v>881</v>
      </c>
      <c r="B490">
        <v>489</v>
      </c>
      <c r="C490" t="s">
        <v>888</v>
      </c>
      <c r="D490">
        <v>4881</v>
      </c>
      <c r="E490">
        <v>4896</v>
      </c>
      <c r="F490">
        <v>4564</v>
      </c>
      <c r="G490">
        <v>4932</v>
      </c>
      <c r="H490">
        <v>4932</v>
      </c>
      <c r="J490">
        <v>4622</v>
      </c>
      <c r="K490">
        <v>-310</v>
      </c>
      <c r="M490" t="b">
        <v>0</v>
      </c>
      <c r="N490" t="s">
        <v>889</v>
      </c>
    </row>
    <row r="491" spans="1:14">
      <c r="A491" t="s">
        <v>890</v>
      </c>
      <c r="B491">
        <v>490</v>
      </c>
      <c r="C491" t="s">
        <v>891</v>
      </c>
      <c r="D491">
        <v>4897</v>
      </c>
      <c r="E491">
        <v>4904</v>
      </c>
      <c r="I491">
        <v>1000</v>
      </c>
      <c r="J491">
        <v>1000</v>
      </c>
      <c r="K491">
        <v>1000</v>
      </c>
      <c r="M491" t="b">
        <v>1</v>
      </c>
      <c r="N491" t="s">
        <v>892</v>
      </c>
    </row>
    <row r="492" spans="1:14">
      <c r="A492" t="s">
        <v>890</v>
      </c>
      <c r="B492">
        <v>491</v>
      </c>
      <c r="C492" t="s">
        <v>893</v>
      </c>
      <c r="D492">
        <v>4905</v>
      </c>
      <c r="E492">
        <v>4912</v>
      </c>
      <c r="G492">
        <v>1000</v>
      </c>
      <c r="H492">
        <v>1000</v>
      </c>
      <c r="I492">
        <v>4800</v>
      </c>
      <c r="J492">
        <v>4800</v>
      </c>
      <c r="K492">
        <v>3800</v>
      </c>
      <c r="L492">
        <v>380</v>
      </c>
      <c r="M492" t="b">
        <v>0</v>
      </c>
      <c r="N492" t="s">
        <v>894</v>
      </c>
    </row>
    <row r="493" spans="1:14">
      <c r="A493" t="s">
        <v>890</v>
      </c>
      <c r="B493">
        <v>492</v>
      </c>
      <c r="C493" t="s">
        <v>895</v>
      </c>
      <c r="D493">
        <v>4913</v>
      </c>
      <c r="E493">
        <v>4921</v>
      </c>
      <c r="G493">
        <v>1200</v>
      </c>
      <c r="H493">
        <v>1200</v>
      </c>
      <c r="I493">
        <v>3768</v>
      </c>
      <c r="J493">
        <v>3768</v>
      </c>
      <c r="K493">
        <v>2568</v>
      </c>
      <c r="L493">
        <v>214</v>
      </c>
      <c r="M493" t="b">
        <v>0</v>
      </c>
      <c r="N493" t="s">
        <v>896</v>
      </c>
    </row>
    <row r="494" spans="1:14">
      <c r="A494" t="s">
        <v>890</v>
      </c>
      <c r="B494">
        <v>493</v>
      </c>
      <c r="C494" t="s">
        <v>897</v>
      </c>
      <c r="D494">
        <v>4922</v>
      </c>
      <c r="E494">
        <v>4933</v>
      </c>
      <c r="F494">
        <v>18859</v>
      </c>
      <c r="G494">
        <v>23966</v>
      </c>
      <c r="H494">
        <v>23966</v>
      </c>
      <c r="I494">
        <v>29921</v>
      </c>
      <c r="J494">
        <v>29921</v>
      </c>
      <c r="K494">
        <v>5955</v>
      </c>
      <c r="L494">
        <v>24.8</v>
      </c>
      <c r="M494" t="b">
        <v>0</v>
      </c>
      <c r="N494" t="s">
        <v>898</v>
      </c>
    </row>
    <row r="495" spans="1:14">
      <c r="A495" t="s">
        <v>890</v>
      </c>
      <c r="B495">
        <v>494</v>
      </c>
      <c r="C495" t="s">
        <v>899</v>
      </c>
      <c r="D495">
        <v>4934</v>
      </c>
      <c r="E495">
        <v>4941</v>
      </c>
      <c r="F495">
        <v>1214</v>
      </c>
      <c r="G495">
        <v>280</v>
      </c>
      <c r="H495">
        <v>280</v>
      </c>
      <c r="I495">
        <v>5492</v>
      </c>
      <c r="J495">
        <v>5492</v>
      </c>
      <c r="K495">
        <v>5212</v>
      </c>
      <c r="L495">
        <v>1861.4</v>
      </c>
      <c r="M495" t="b">
        <v>0</v>
      </c>
      <c r="N495" t="s">
        <v>900</v>
      </c>
    </row>
    <row r="496" spans="1:14">
      <c r="A496" t="s">
        <v>901</v>
      </c>
      <c r="B496">
        <v>495</v>
      </c>
      <c r="C496" t="s">
        <v>902</v>
      </c>
      <c r="D496">
        <v>4942</v>
      </c>
      <c r="E496">
        <v>4950</v>
      </c>
      <c r="F496">
        <v>2996</v>
      </c>
      <c r="G496">
        <v>4996</v>
      </c>
      <c r="J496">
        <v>4996</v>
      </c>
      <c r="M496" t="b">
        <v>0</v>
      </c>
      <c r="N496" t="s">
        <v>903</v>
      </c>
    </row>
    <row r="497" spans="1:14">
      <c r="A497" t="s">
        <v>901</v>
      </c>
      <c r="B497">
        <v>496</v>
      </c>
      <c r="C497" t="s">
        <v>904</v>
      </c>
      <c r="D497">
        <v>4951</v>
      </c>
      <c r="E497">
        <v>4956</v>
      </c>
      <c r="J497">
        <v>6344</v>
      </c>
      <c r="K497">
        <v>6344</v>
      </c>
      <c r="M497" t="b">
        <v>1</v>
      </c>
      <c r="N497" t="s">
        <v>905</v>
      </c>
    </row>
    <row r="498" spans="1:14">
      <c r="A498" t="s">
        <v>901</v>
      </c>
      <c r="B498">
        <v>497</v>
      </c>
      <c r="C498" t="s">
        <v>906</v>
      </c>
      <c r="D498">
        <v>4957</v>
      </c>
      <c r="E498">
        <v>4961</v>
      </c>
      <c r="J498">
        <v>45000</v>
      </c>
      <c r="K498">
        <v>25000</v>
      </c>
      <c r="M498" t="b">
        <v>1</v>
      </c>
      <c r="N498" t="s">
        <v>907</v>
      </c>
    </row>
    <row r="499" spans="1:14">
      <c r="A499" t="s">
        <v>901</v>
      </c>
      <c r="B499">
        <v>498</v>
      </c>
      <c r="C499" t="s">
        <v>908</v>
      </c>
      <c r="D499">
        <v>4962</v>
      </c>
      <c r="E499">
        <v>4968</v>
      </c>
      <c r="F499">
        <v>2217</v>
      </c>
      <c r="G499">
        <v>3067</v>
      </c>
      <c r="H499">
        <v>3067</v>
      </c>
      <c r="J499">
        <v>3067</v>
      </c>
      <c r="M499" t="b">
        <v>0</v>
      </c>
      <c r="N499" t="s">
        <v>909</v>
      </c>
    </row>
    <row r="500" spans="1:14">
      <c r="A500" t="s">
        <v>901</v>
      </c>
      <c r="B500">
        <v>499</v>
      </c>
      <c r="C500" t="s">
        <v>910</v>
      </c>
      <c r="D500">
        <v>4969</v>
      </c>
      <c r="E500">
        <v>4975</v>
      </c>
      <c r="G500">
        <v>3000</v>
      </c>
      <c r="H500">
        <v>3000</v>
      </c>
      <c r="J500">
        <v>5400</v>
      </c>
      <c r="K500">
        <v>2400</v>
      </c>
      <c r="L500">
        <v>80</v>
      </c>
      <c r="M500" t="b">
        <v>0</v>
      </c>
      <c r="N500" t="s">
        <v>911</v>
      </c>
    </row>
    <row r="501" spans="1:14">
      <c r="A501" t="s">
        <v>901</v>
      </c>
      <c r="B501">
        <v>500</v>
      </c>
      <c r="C501" t="s">
        <v>912</v>
      </c>
      <c r="D501">
        <v>4976</v>
      </c>
      <c r="E501">
        <v>4983</v>
      </c>
      <c r="F501">
        <v>71036</v>
      </c>
      <c r="G501">
        <v>75895</v>
      </c>
      <c r="H501">
        <v>75895</v>
      </c>
      <c r="J501">
        <v>80306</v>
      </c>
      <c r="K501">
        <v>4411</v>
      </c>
      <c r="L501">
        <v>5.8</v>
      </c>
      <c r="M501" t="b">
        <v>0</v>
      </c>
      <c r="N501" t="s">
        <v>913</v>
      </c>
    </row>
    <row r="502" spans="1:14">
      <c r="A502" t="s">
        <v>901</v>
      </c>
      <c r="B502">
        <v>501</v>
      </c>
      <c r="C502" t="s">
        <v>914</v>
      </c>
      <c r="D502">
        <v>4984</v>
      </c>
      <c r="E502">
        <v>4990</v>
      </c>
      <c r="G502">
        <v>2600</v>
      </c>
      <c r="H502">
        <v>2600</v>
      </c>
      <c r="J502">
        <v>3360</v>
      </c>
      <c r="K502">
        <v>760</v>
      </c>
      <c r="L502">
        <v>29.2</v>
      </c>
      <c r="M502" t="b">
        <v>0</v>
      </c>
      <c r="N502" t="e">
        <f>- (남극해 급격한 온난화 대응 남극 해빙 예측기술 개발) 남극해 급격한 온난화에 따른 남극 해빙 융해 프로세스 규명 및 국제협력 기반 AI 적용 남극 해빙 장기 예측 시스템 개발과 계절 예측 자료 생산</f>
        <v>#NAME?</v>
      </c>
    </row>
    <row r="503" spans="1:14">
      <c r="A503" t="s">
        <v>901</v>
      </c>
      <c r="B503">
        <v>502</v>
      </c>
      <c r="C503" t="s">
        <v>915</v>
      </c>
      <c r="D503">
        <v>4991</v>
      </c>
      <c r="E503">
        <v>4999</v>
      </c>
      <c r="F503">
        <v>2670</v>
      </c>
      <c r="G503">
        <v>3170</v>
      </c>
      <c r="H503">
        <v>3170</v>
      </c>
      <c r="J503">
        <v>3170</v>
      </c>
      <c r="M503" t="b">
        <v>0</v>
      </c>
      <c r="N503" t="e">
        <f>- (머신러닝 기반 해저면 특성 분류 기술개발) - 머신러닝 및 AI 기술 기반의 해양공간계획을 위한 해저면 특성 분류·피복 정보 생산 및 광역생태계 정보 진단‧예측 기술개발 - (머신러닝 기반 해저면 특성 분류 기술개발) - 머신러닝 기법을 적용하여 지속 가능한 해양공간의 합리적 활용 및 보전에 필요한 초정밀 해저면 특성 분류 및 피복정보 생성 기술개발</f>
        <v>#NAME?</v>
      </c>
    </row>
    <row r="504" spans="1:14">
      <c r="A504" t="s">
        <v>901</v>
      </c>
      <c r="B504">
        <v>503</v>
      </c>
      <c r="C504" t="s">
        <v>916</v>
      </c>
      <c r="D504">
        <v>5000</v>
      </c>
      <c r="E504">
        <v>5008</v>
      </c>
      <c r="J504">
        <v>3500</v>
      </c>
      <c r="K504">
        <v>3500</v>
      </c>
      <c r="M504" t="b">
        <v>1</v>
      </c>
      <c r="N504" t="e">
        <f>- (사업목적) 주변국의 무단 해양시설 설치, 공세적 해양활동*에 대응해 해양주권 수호를 위해 최외곽 해역에서 체계적 감시·탐지 기술개발 - (사업내용) 해상물체의 자동탐지 및 식별을 위한 AI 알고리즘, 온디바이스 AI 기반 지능형 감시 및 해수부·해군·해경 플랫폼에 연계 가능 멀티모달 기술개발</f>
        <v>#NAME?</v>
      </c>
    </row>
    <row r="505" spans="1:14">
      <c r="A505" t="s">
        <v>901</v>
      </c>
      <c r="B505">
        <v>504</v>
      </c>
      <c r="C505" t="s">
        <v>917</v>
      </c>
      <c r="D505">
        <v>5009</v>
      </c>
      <c r="E505">
        <v>5018</v>
      </c>
      <c r="F505">
        <v>1889</v>
      </c>
      <c r="G505">
        <v>2700</v>
      </c>
      <c r="J505">
        <v>2700</v>
      </c>
      <c r="M505" t="b">
        <v>0</v>
      </c>
      <c r="N505" t="s">
        <v>918</v>
      </c>
    </row>
    <row r="506" spans="1:14">
      <c r="A506" t="s">
        <v>901</v>
      </c>
      <c r="B506">
        <v>505</v>
      </c>
      <c r="C506" t="s">
        <v>919</v>
      </c>
      <c r="D506">
        <v>5019</v>
      </c>
      <c r="E506">
        <v>5034</v>
      </c>
      <c r="F506">
        <v>36978</v>
      </c>
      <c r="G506">
        <v>40279</v>
      </c>
      <c r="H506">
        <v>40279</v>
      </c>
      <c r="J506">
        <v>61029</v>
      </c>
      <c r="K506">
        <v>20750</v>
      </c>
      <c r="L506">
        <v>51.5</v>
      </c>
      <c r="M506" t="b">
        <v>0</v>
      </c>
      <c r="N506" t="s">
        <v>920</v>
      </c>
    </row>
    <row r="507" spans="1:14">
      <c r="A507" t="s">
        <v>901</v>
      </c>
      <c r="B507">
        <v>506</v>
      </c>
      <c r="C507" t="s">
        <v>921</v>
      </c>
      <c r="D507">
        <v>5035</v>
      </c>
      <c r="E507">
        <v>5043</v>
      </c>
      <c r="F507">
        <v>5505</v>
      </c>
      <c r="G507">
        <v>4451</v>
      </c>
      <c r="H507">
        <v>4451</v>
      </c>
      <c r="J507">
        <v>3340</v>
      </c>
      <c r="K507">
        <v>-1111</v>
      </c>
      <c r="L507">
        <v>-25</v>
      </c>
      <c r="M507" t="b">
        <v>0</v>
      </c>
      <c r="N507" t="s">
        <v>922</v>
      </c>
    </row>
    <row r="508" spans="1:14">
      <c r="A508" t="s">
        <v>901</v>
      </c>
      <c r="B508">
        <v>507</v>
      </c>
      <c r="C508" t="s">
        <v>923</v>
      </c>
      <c r="D508">
        <v>5044</v>
      </c>
      <c r="E508">
        <v>5050</v>
      </c>
      <c r="F508">
        <v>2134</v>
      </c>
      <c r="G508">
        <v>2988</v>
      </c>
      <c r="H508">
        <v>2988</v>
      </c>
      <c r="J508">
        <v>9678</v>
      </c>
      <c r="K508">
        <v>1012</v>
      </c>
      <c r="L508">
        <v>33.799999999999997</v>
      </c>
      <c r="M508" t="b">
        <v>0</v>
      </c>
      <c r="N508" t="e">
        <f>- (순환적응형 연안침식 관리기술 개발) - 지속적인 연안개발과 이용, 해수면상승, 태풍·파랑강도 증가 등으로인해 훼손되는 연안을 보전하기 위해 모니터링·관리·예측·대응·평가 등 연안관리 전단계가 유기적 으로 통합된 디지털 연안침식 관리시스템 구축 기술개발</f>
        <v>#NAME?</v>
      </c>
    </row>
    <row r="509" spans="1:14">
      <c r="A509" t="s">
        <v>901</v>
      </c>
      <c r="B509">
        <v>508</v>
      </c>
      <c r="C509" t="s">
        <v>924</v>
      </c>
      <c r="D509">
        <v>5051</v>
      </c>
      <c r="E509">
        <v>5057</v>
      </c>
      <c r="J509">
        <v>5017</v>
      </c>
      <c r="K509">
        <v>5017</v>
      </c>
      <c r="M509" t="b">
        <v>1</v>
      </c>
      <c r="N509" t="s">
        <v>925</v>
      </c>
    </row>
    <row r="510" spans="1:14">
      <c r="A510" t="s">
        <v>901</v>
      </c>
      <c r="B510">
        <v>509</v>
      </c>
      <c r="C510" t="s">
        <v>926</v>
      </c>
      <c r="D510">
        <v>5058</v>
      </c>
      <c r="E510">
        <v>5064</v>
      </c>
      <c r="G510">
        <v>2000</v>
      </c>
      <c r="H510">
        <v>2000</v>
      </c>
      <c r="J510">
        <v>2300</v>
      </c>
      <c r="K510">
        <v>300</v>
      </c>
      <c r="L510">
        <v>15</v>
      </c>
      <c r="M510" t="b">
        <v>0</v>
      </c>
      <c r="N510" t="s">
        <v>927</v>
      </c>
    </row>
    <row r="511" spans="1:14">
      <c r="A511" t="s">
        <v>901</v>
      </c>
      <c r="B511">
        <v>510</v>
      </c>
      <c r="C511" t="s">
        <v>928</v>
      </c>
      <c r="D511">
        <v>5065</v>
      </c>
      <c r="E511">
        <v>5071</v>
      </c>
      <c r="J511">
        <v>1600</v>
      </c>
      <c r="K511">
        <v>1600</v>
      </c>
      <c r="M511" t="b">
        <v>1</v>
      </c>
      <c r="N511" t="s">
        <v>929</v>
      </c>
    </row>
    <row r="512" spans="1:14">
      <c r="A512" t="s">
        <v>901</v>
      </c>
      <c r="B512">
        <v>511</v>
      </c>
      <c r="C512" t="s">
        <v>930</v>
      </c>
      <c r="D512">
        <v>5072</v>
      </c>
      <c r="E512">
        <v>5079</v>
      </c>
      <c r="F512">
        <v>7000</v>
      </c>
      <c r="G512">
        <v>7140</v>
      </c>
      <c r="H512">
        <v>7140</v>
      </c>
      <c r="J512">
        <v>9380</v>
      </c>
      <c r="K512">
        <v>2440</v>
      </c>
      <c r="L512">
        <v>31.4</v>
      </c>
      <c r="M512" t="b">
        <v>0</v>
      </c>
      <c r="N512" t="e">
        <f>- (유수식 디지털양식 혁신기술개발) 육상 유수식 넙치양식장의 실시간 생물 및 환경 정보를 수집, 분석, 활용하는 기술개발을 통해 양식업 현장의 에너지, 노동력, 환경 부하 절감 및 생산성 향상 - (유수식 스마트양식시스템 개발) IT 기반 수산양식 시스템 구축 및 표준화 설계기술 개발을 통해 유수식 양식장의 노동력 절감 및 생산성 향상이 가능한 유수식 스마트양식 모델 개발 - (빅데이터 기반 양식 생산성 향상기술) 유수식 양식 전주기에 발생되는 수산양식 데이터를 활용한 현장맞춤형 빅데이터-AI기반 데이터 플랫폼 기술 개발 및 디지털양식 체계 구축</f>
        <v>#NAME?</v>
      </c>
    </row>
    <row r="513" spans="1:14">
      <c r="A513" t="s">
        <v>901</v>
      </c>
      <c r="B513">
        <v>512</v>
      </c>
      <c r="C513" t="s">
        <v>931</v>
      </c>
      <c r="D513">
        <v>5080</v>
      </c>
      <c r="E513">
        <v>5085</v>
      </c>
      <c r="J513">
        <v>1400</v>
      </c>
      <c r="K513">
        <v>1400</v>
      </c>
      <c r="M513" t="b">
        <v>1</v>
      </c>
      <c r="N513" t="s">
        <v>932</v>
      </c>
    </row>
    <row r="514" spans="1:14">
      <c r="A514" t="s">
        <v>901</v>
      </c>
      <c r="B514">
        <v>513</v>
      </c>
      <c r="C514" t="s">
        <v>933</v>
      </c>
      <c r="D514">
        <v>5086</v>
      </c>
      <c r="E514">
        <v>5091</v>
      </c>
      <c r="J514">
        <v>2000</v>
      </c>
      <c r="K514">
        <v>2000</v>
      </c>
      <c r="M514" t="b">
        <v>1</v>
      </c>
      <c r="N514" t="e">
        <f>- (지능형 빅데이터 분석기반 해양환경누적영향평가 및 의사결정 지원기술개발사업) 대규모 해양이용·개발사업에 대한 시·공간 복합·누적영향에 대한 평가기준 개발 및 AI 기반 스코핑 의사결정 시스템 개발</f>
        <v>#NAME?</v>
      </c>
    </row>
    <row r="515" spans="1:14">
      <c r="A515" t="s">
        <v>901</v>
      </c>
      <c r="B515">
        <v>514</v>
      </c>
      <c r="C515" t="s">
        <v>934</v>
      </c>
      <c r="D515">
        <v>5092</v>
      </c>
      <c r="E515">
        <v>5098</v>
      </c>
      <c r="J515">
        <v>6400</v>
      </c>
      <c r="K515">
        <v>6400</v>
      </c>
      <c r="M515" t="b">
        <v>1</v>
      </c>
      <c r="N515" t="s">
        <v>935</v>
      </c>
    </row>
    <row r="516" spans="1:14">
      <c r="A516" t="s">
        <v>901</v>
      </c>
      <c r="B516">
        <v>515</v>
      </c>
      <c r="C516" t="s">
        <v>936</v>
      </c>
      <c r="D516">
        <v>5099</v>
      </c>
      <c r="E516">
        <v>5113</v>
      </c>
      <c r="F516">
        <v>68897</v>
      </c>
      <c r="G516">
        <v>78123</v>
      </c>
      <c r="H516">
        <v>78123</v>
      </c>
      <c r="J516">
        <v>82314</v>
      </c>
      <c r="K516">
        <v>5041</v>
      </c>
      <c r="L516">
        <v>6.5</v>
      </c>
      <c r="M516" t="b">
        <v>0</v>
      </c>
      <c r="N516" t="s">
        <v>937</v>
      </c>
    </row>
    <row r="517" spans="1:14">
      <c r="A517" t="s">
        <v>901</v>
      </c>
      <c r="B517">
        <v>516</v>
      </c>
      <c r="C517" t="s">
        <v>938</v>
      </c>
      <c r="D517">
        <v>5114</v>
      </c>
      <c r="E517">
        <v>5122</v>
      </c>
      <c r="G517">
        <v>4300</v>
      </c>
      <c r="H517">
        <v>4300</v>
      </c>
      <c r="J517">
        <v>10635</v>
      </c>
      <c r="K517">
        <v>6335</v>
      </c>
      <c r="L517">
        <v>147.30000000000001</v>
      </c>
      <c r="M517" t="b">
        <v>0</v>
      </c>
      <c r="N517" t="s">
        <v>939</v>
      </c>
    </row>
    <row r="518" spans="1:14">
      <c r="A518" t="s">
        <v>901</v>
      </c>
      <c r="B518">
        <v>517</v>
      </c>
      <c r="C518" t="s">
        <v>940</v>
      </c>
      <c r="D518">
        <v>5123</v>
      </c>
      <c r="E518">
        <v>5131</v>
      </c>
      <c r="F518">
        <v>5975</v>
      </c>
      <c r="G518">
        <v>6675</v>
      </c>
      <c r="H518">
        <v>6675</v>
      </c>
      <c r="J518">
        <v>6000</v>
      </c>
      <c r="K518">
        <v>-675</v>
      </c>
      <c r="L518">
        <v>-10.1</v>
      </c>
      <c r="M518" t="b">
        <v>0</v>
      </c>
      <c r="N518" t="e">
        <f>- (해양 디지털트윈 구축 및 활용 기반 기술 연구) 해양 디지털트윈 플랫폼 구축으로 해양공간 정책시뮬레이션‧해양예측서비스 기반기술 제공 및 외부활용기반 마련 - (해양공간 정책시뮬레이터 기술 개발) 해양활동 예측 및 시나리오 기반 공간변화‧ 정책진단을 위한 해양공간 정책 시뮬레이션 기술 개발 및 정책지원기술 제도 개선안 마련 - (맞춤형 해양예측정보 제공을 위한 서비스 기술 개발) 다양한 수치모델 기반 해양예 측자료 융합‧제공 등 기반 기술을 확보 및 선제적인 현장 문제 해결 지원을 위한 맞춤형 서비스 시범구축</f>
        <v>#NAME?</v>
      </c>
    </row>
    <row r="519" spans="1:14">
      <c r="A519" t="s">
        <v>901</v>
      </c>
      <c r="B519">
        <v>518</v>
      </c>
      <c r="C519" t="s">
        <v>941</v>
      </c>
      <c r="D519">
        <v>5132</v>
      </c>
      <c r="E519">
        <v>5140</v>
      </c>
      <c r="J519">
        <v>2000</v>
      </c>
      <c r="K519">
        <v>2000</v>
      </c>
      <c r="M519" t="b">
        <v>1</v>
      </c>
      <c r="N519" t="s">
        <v>942</v>
      </c>
    </row>
    <row r="520" spans="1:14">
      <c r="A520" t="s">
        <v>901</v>
      </c>
      <c r="B520">
        <v>519</v>
      </c>
      <c r="C520" t="s">
        <v>943</v>
      </c>
      <c r="D520">
        <v>5141</v>
      </c>
      <c r="E520">
        <v>5151</v>
      </c>
      <c r="F520">
        <v>22170</v>
      </c>
      <c r="G520">
        <v>24578</v>
      </c>
      <c r="H520">
        <v>24578</v>
      </c>
      <c r="J520">
        <v>16185</v>
      </c>
      <c r="K520">
        <v>-8393</v>
      </c>
      <c r="L520">
        <v>-34.1</v>
      </c>
      <c r="M520" t="b">
        <v>0</v>
      </c>
      <c r="N520" t="s">
        <v>944</v>
      </c>
    </row>
    <row r="521" spans="1:14">
      <c r="A521" t="s">
        <v>901</v>
      </c>
      <c r="B521">
        <v>520</v>
      </c>
      <c r="C521" t="s">
        <v>945</v>
      </c>
      <c r="D521">
        <v>5152</v>
      </c>
      <c r="E521">
        <v>5158</v>
      </c>
      <c r="J521">
        <v>3700</v>
      </c>
      <c r="K521">
        <v>3700</v>
      </c>
      <c r="M521" t="b">
        <v>1</v>
      </c>
      <c r="N521" t="s">
        <v>946</v>
      </c>
    </row>
    <row r="522" spans="1:14">
      <c r="A522" t="s">
        <v>901</v>
      </c>
      <c r="B522">
        <v>521</v>
      </c>
      <c r="C522" t="s">
        <v>947</v>
      </c>
      <c r="D522">
        <v>5159</v>
      </c>
      <c r="E522">
        <v>5164</v>
      </c>
      <c r="J522">
        <v>2100</v>
      </c>
      <c r="K522">
        <v>2100</v>
      </c>
      <c r="M522" t="b">
        <v>1</v>
      </c>
      <c r="N522" t="s">
        <v>948</v>
      </c>
    </row>
    <row r="523" spans="1:14">
      <c r="A523" t="s">
        <v>949</v>
      </c>
      <c r="B523">
        <v>522</v>
      </c>
      <c r="C523" t="s">
        <v>950</v>
      </c>
      <c r="D523">
        <v>5165</v>
      </c>
      <c r="E523">
        <v>5175</v>
      </c>
      <c r="F523">
        <v>44925</v>
      </c>
      <c r="G523">
        <v>41634</v>
      </c>
      <c r="H523">
        <v>41634</v>
      </c>
      <c r="I523">
        <v>40662</v>
      </c>
      <c r="J523">
        <v>40662</v>
      </c>
      <c r="K523">
        <v>-972</v>
      </c>
      <c r="L523">
        <v>-2.33</v>
      </c>
      <c r="M523" t="b">
        <v>0</v>
      </c>
      <c r="N523" t="e">
        <f ca="1">- (공공데이터 제공 기반 조성) 공공데이터 정책 심의·검토를 위한 공공데이터전략위 원회 운영, 공공데이터 제공 분쟁조정처리, 사무국 운영 등 민·관 협의체 운영 추 진 및 대국민 공공데이터 제공을 위한 공공데이터 포털 운영·유지 보수 등 - (공공데이터 구축 개방 확대) AI 학습용 공공데이터 가공, 공공데이터 개방DB 구축, 공공데이터 개방 가능성 점검 및 개선, 공공데이터 제공 확대, 민·관 협업 기반 데이터 구축·개방 확대 및 전국 통합(지자체) 데이터 개방 확대 - (공공데이터 품질 제고) 공공데이터의 안정적 품질관리와 적정 품질관리 수준 확보를 위해 품질관리 수준진단·평가 실시 및 데이터 표준화 확대 추진 등 - (공공데이터 이용활성화 지원) 공공데이터 제공 운영실태 평가, 민관협력 포럼 운영 및 창업경진대회 개최, 공공데이터 통합 콜센터 운영, 범정부 공공데이터 중장기 개방계획 이행, 공공데이터 개방 교육 훈련, 공공데이터 민간중복유사서비스 정비, 공공데이터 활용기업 실태조사 등 추진 - (공공데이터 활용기업 지원) 공공데이터 활용기업 맞춤형 지원 운영, 지역거점 오픈 스퀘어-D 운영 관리</f>
        <v>#NAME?</v>
      </c>
    </row>
    <row r="524" spans="1:14">
      <c r="A524" t="s">
        <v>949</v>
      </c>
      <c r="B524">
        <v>523</v>
      </c>
      <c r="C524" t="s">
        <v>951</v>
      </c>
      <c r="D524">
        <v>5176</v>
      </c>
      <c r="E524">
        <v>5181</v>
      </c>
      <c r="I524">
        <v>20608</v>
      </c>
      <c r="J524">
        <v>20608</v>
      </c>
      <c r="K524">
        <v>20608</v>
      </c>
      <c r="M524" t="b">
        <v>1</v>
      </c>
      <c r="N524" t="s">
        <v>952</v>
      </c>
    </row>
    <row r="525" spans="1:14">
      <c r="A525" t="s">
        <v>949</v>
      </c>
      <c r="B525">
        <v>524</v>
      </c>
      <c r="C525" t="s">
        <v>953</v>
      </c>
      <c r="D525">
        <v>5182</v>
      </c>
      <c r="E525">
        <v>5193</v>
      </c>
      <c r="F525">
        <v>10779</v>
      </c>
      <c r="G525">
        <v>12360</v>
      </c>
      <c r="H525">
        <v>12360</v>
      </c>
      <c r="I525">
        <v>12843</v>
      </c>
      <c r="J525">
        <v>12843</v>
      </c>
      <c r="K525">
        <v>483</v>
      </c>
      <c r="L525">
        <v>3.9</v>
      </c>
      <c r="M525" t="b">
        <v>0</v>
      </c>
      <c r="N525" t="s">
        <v>954</v>
      </c>
    </row>
    <row r="526" spans="1:14">
      <c r="A526" t="s">
        <v>949</v>
      </c>
      <c r="B526">
        <v>525</v>
      </c>
      <c r="C526" t="s">
        <v>955</v>
      </c>
      <c r="D526">
        <v>5194</v>
      </c>
      <c r="E526">
        <v>5205</v>
      </c>
      <c r="F526">
        <v>14664</v>
      </c>
      <c r="G526">
        <v>15008</v>
      </c>
      <c r="H526">
        <v>15008</v>
      </c>
      <c r="I526">
        <v>14506</v>
      </c>
      <c r="J526">
        <v>10478</v>
      </c>
      <c r="K526">
        <v>-4530</v>
      </c>
      <c r="L526">
        <v>-30.2</v>
      </c>
      <c r="M526" t="b">
        <v>0</v>
      </c>
      <c r="N526" t="s">
        <v>956</v>
      </c>
    </row>
    <row r="527" spans="1:14">
      <c r="A527" t="s">
        <v>949</v>
      </c>
      <c r="B527">
        <v>526</v>
      </c>
      <c r="C527" t="s">
        <v>957</v>
      </c>
      <c r="D527">
        <v>5206</v>
      </c>
      <c r="E527">
        <v>5212</v>
      </c>
      <c r="G527">
        <v>1500</v>
      </c>
      <c r="H527">
        <v>1500</v>
      </c>
      <c r="I527">
        <v>2600</v>
      </c>
      <c r="J527">
        <v>2600</v>
      </c>
      <c r="K527">
        <v>1100</v>
      </c>
      <c r="L527">
        <v>73.3</v>
      </c>
      <c r="M527" t="b">
        <v>0</v>
      </c>
      <c r="N527" t="s">
        <v>958</v>
      </c>
    </row>
    <row r="528" spans="1:14">
      <c r="A528" t="s">
        <v>949</v>
      </c>
      <c r="B528">
        <v>527</v>
      </c>
      <c r="C528" t="s">
        <v>234</v>
      </c>
      <c r="D528">
        <v>5213</v>
      </c>
      <c r="E528">
        <v>5219</v>
      </c>
      <c r="G528">
        <v>5392</v>
      </c>
      <c r="H528">
        <v>5392</v>
      </c>
      <c r="I528">
        <v>7958</v>
      </c>
      <c r="J528">
        <v>7371</v>
      </c>
      <c r="K528">
        <v>7371</v>
      </c>
      <c r="L528">
        <v>1979</v>
      </c>
      <c r="M528" t="b">
        <v>0</v>
      </c>
      <c r="N528" t="e">
        <f>- 범정부적으로 초거대 AI를 도입하여 각 기관이 특화 데이터를 활용하여 초거대 AI 서비스를 신속히 구현‧운영할 수 있게 지원하는 것임</f>
        <v>#NAME?</v>
      </c>
    </row>
    <row r="529" spans="1:14">
      <c r="A529" t="s">
        <v>949</v>
      </c>
      <c r="B529">
        <v>528</v>
      </c>
      <c r="C529" t="s">
        <v>959</v>
      </c>
      <c r="D529">
        <v>5220</v>
      </c>
      <c r="E529">
        <v>5228</v>
      </c>
      <c r="F529">
        <v>32940</v>
      </c>
      <c r="G529">
        <v>31744</v>
      </c>
      <c r="H529">
        <v>31744</v>
      </c>
      <c r="I529">
        <v>26766</v>
      </c>
      <c r="J529">
        <v>26766</v>
      </c>
      <c r="K529">
        <v>-4978</v>
      </c>
      <c r="L529">
        <v>-15.7</v>
      </c>
      <c r="M529" t="b">
        <v>0</v>
      </c>
      <c r="N529" t="s">
        <v>960</v>
      </c>
    </row>
    <row r="530" spans="1:14">
      <c r="A530" t="s">
        <v>949</v>
      </c>
      <c r="B530">
        <v>529</v>
      </c>
      <c r="C530" t="s">
        <v>961</v>
      </c>
      <c r="D530">
        <v>5229</v>
      </c>
      <c r="E530">
        <v>5235</v>
      </c>
      <c r="F530">
        <v>3251</v>
      </c>
      <c r="G530">
        <v>5075</v>
      </c>
      <c r="H530">
        <v>5075</v>
      </c>
      <c r="I530">
        <v>12369</v>
      </c>
      <c r="J530">
        <v>12369</v>
      </c>
      <c r="K530">
        <v>7294</v>
      </c>
      <c r="L530">
        <v>143.69999999999999</v>
      </c>
      <c r="M530" t="b">
        <v>0</v>
      </c>
      <c r="N530" t="s">
        <v>962</v>
      </c>
    </row>
    <row r="531" spans="1:14">
      <c r="A531" t="s">
        <v>949</v>
      </c>
      <c r="B531">
        <v>530</v>
      </c>
      <c r="C531" t="s">
        <v>963</v>
      </c>
      <c r="D531">
        <v>5236</v>
      </c>
      <c r="E531">
        <v>5246</v>
      </c>
      <c r="F531">
        <v>11060</v>
      </c>
      <c r="G531">
        <v>11867</v>
      </c>
      <c r="H531">
        <v>11867</v>
      </c>
      <c r="I531">
        <v>18925</v>
      </c>
      <c r="J531">
        <v>18925</v>
      </c>
      <c r="K531">
        <v>7058</v>
      </c>
      <c r="L531">
        <v>59.5</v>
      </c>
      <c r="M531" t="b">
        <v>0</v>
      </c>
      <c r="N531" t="s">
        <v>964</v>
      </c>
    </row>
    <row r="532" spans="1:14">
      <c r="A532" t="s">
        <v>949</v>
      </c>
      <c r="B532">
        <v>531</v>
      </c>
      <c r="C532" t="s">
        <v>965</v>
      </c>
      <c r="D532">
        <v>5247</v>
      </c>
      <c r="E532">
        <v>5256</v>
      </c>
      <c r="F532">
        <v>7407</v>
      </c>
      <c r="G532">
        <v>10530</v>
      </c>
      <c r="H532">
        <v>10530</v>
      </c>
      <c r="I532">
        <v>28040</v>
      </c>
      <c r="J532">
        <v>26152</v>
      </c>
      <c r="K532">
        <v>15622</v>
      </c>
      <c r="L532">
        <v>148.4</v>
      </c>
      <c r="M532" t="b">
        <v>0</v>
      </c>
      <c r="N532" t="s">
        <v>966</v>
      </c>
    </row>
    <row r="533" spans="1:14">
      <c r="A533" t="s">
        <v>949</v>
      </c>
      <c r="B533">
        <v>532</v>
      </c>
      <c r="C533" t="s">
        <v>967</v>
      </c>
      <c r="D533">
        <v>5257</v>
      </c>
      <c r="E533">
        <v>5284</v>
      </c>
      <c r="F533">
        <v>36329</v>
      </c>
      <c r="G533">
        <v>19933</v>
      </c>
      <c r="H533">
        <v>19933</v>
      </c>
      <c r="I533">
        <v>23054</v>
      </c>
      <c r="J533">
        <v>19514</v>
      </c>
      <c r="K533">
        <v>-419</v>
      </c>
      <c r="L533">
        <v>-2.1</v>
      </c>
      <c r="M533" t="b">
        <v>0</v>
      </c>
      <c r="N533" t="s">
        <v>968</v>
      </c>
    </row>
    <row r="534" spans="1:14">
      <c r="A534" t="s">
        <v>949</v>
      </c>
      <c r="B534">
        <v>533</v>
      </c>
      <c r="C534" t="s">
        <v>969</v>
      </c>
      <c r="D534">
        <v>5285</v>
      </c>
      <c r="E534">
        <v>5296</v>
      </c>
      <c r="F534">
        <v>15793</v>
      </c>
      <c r="G534">
        <v>24999</v>
      </c>
      <c r="H534">
        <v>24999</v>
      </c>
      <c r="I534">
        <v>21780</v>
      </c>
      <c r="J534">
        <v>22524</v>
      </c>
      <c r="K534">
        <v>-2475</v>
      </c>
      <c r="L534">
        <v>-9.9</v>
      </c>
      <c r="M534" t="b">
        <v>0</v>
      </c>
      <c r="N534" t="s">
        <v>970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budget_data_verified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이윤환</cp:lastModifiedBy>
  <dcterms:created xsi:type="dcterms:W3CDTF">2026-03-10T05:53:37Z</dcterms:created>
  <dcterms:modified xsi:type="dcterms:W3CDTF">2026-03-10T07:38:43Z</dcterms:modified>
</cp:coreProperties>
</file>